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xt\tariff\air\EGYPTAIR\"/>
    </mc:Choice>
  </mc:AlternateContent>
  <xr:revisionPtr revIDLastSave="0" documentId="8_{836D899E-B875-4A7A-B1BF-13165F77915F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Table 1" sheetId="1" r:id="rId1"/>
    <sheet name="Table 2" sheetId="2" r:id="rId2"/>
    <sheet name="Tabla1" sheetId="6" r:id="rId3"/>
    <sheet name="Hoja2" sheetId="7" r:id="rId4"/>
    <sheet name="Hoja1" sheetId="5" r:id="rId5"/>
    <sheet name="Table 3" sheetId="3" r:id="rId6"/>
    <sheet name="Table 4" sheetId="4" r:id="rId7"/>
  </sheets>
  <externalReferences>
    <externalReference r:id="rId8"/>
  </externalReferences>
  <definedNames>
    <definedName name="DatosExternos_1" localSheetId="2" hidden="1">Tabla1!$A$1:$I$35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O16" i="7" s="1"/>
  <c r="M17" i="7"/>
  <c r="O17" i="7" s="1"/>
  <c r="M18" i="7"/>
  <c r="O18" i="7" s="1"/>
  <c r="M19" i="7"/>
  <c r="O19" i="7" s="1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2" i="7"/>
  <c r="C3" i="7"/>
  <c r="C4" i="7"/>
  <c r="C5" i="7"/>
  <c r="C6" i="7"/>
  <c r="C7" i="7"/>
  <c r="C8" i="7"/>
  <c r="C9" i="7"/>
  <c r="C10" i="7"/>
  <c r="O10" i="7" s="1"/>
  <c r="C11" i="7"/>
  <c r="C12" i="7"/>
  <c r="O12" i="7" s="1"/>
  <c r="C13" i="7"/>
  <c r="O13" i="7" s="1"/>
  <c r="C14" i="7"/>
  <c r="C15" i="7"/>
  <c r="O15" i="7" s="1"/>
  <c r="C16" i="7"/>
  <c r="C17" i="7"/>
  <c r="C18" i="7"/>
  <c r="C19" i="7"/>
  <c r="C20" i="7"/>
  <c r="C21" i="7"/>
  <c r="O21" i="7" s="1"/>
  <c r="C22" i="7"/>
  <c r="C23" i="7"/>
  <c r="C24" i="7"/>
  <c r="C25" i="7"/>
  <c r="C26" i="7"/>
  <c r="C27" i="7"/>
  <c r="C28" i="7"/>
  <c r="C29" i="7"/>
  <c r="C30" i="7"/>
  <c r="O30" i="7" s="1"/>
  <c r="C31" i="7"/>
  <c r="C32" i="7"/>
  <c r="O32" i="7" s="1"/>
  <c r="C33" i="7"/>
  <c r="O33" i="7" s="1"/>
  <c r="C34" i="7"/>
  <c r="C35" i="7"/>
  <c r="O35" i="7" s="1"/>
  <c r="C2" i="7"/>
  <c r="O34" i="7" l="1"/>
  <c r="O14" i="7"/>
  <c r="O29" i="7"/>
  <c r="O9" i="7"/>
  <c r="O28" i="7"/>
  <c r="O8" i="7"/>
  <c r="O27" i="7"/>
  <c r="O7" i="7"/>
  <c r="O26" i="7"/>
  <c r="O6" i="7"/>
  <c r="O31" i="7"/>
  <c r="O11" i="7"/>
  <c r="O25" i="7"/>
  <c r="O5" i="7"/>
  <c r="O24" i="7"/>
  <c r="O4" i="7"/>
  <c r="O23" i="7"/>
  <c r="O3" i="7"/>
  <c r="O22" i="7"/>
  <c r="O20" i="7"/>
  <c r="O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B62612-0CED-4DC7-81D8-E5EAEE4AAB84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<sst xmlns="http://schemas.openxmlformats.org/spreadsheetml/2006/main" count="213" uniqueCount="56">
  <si>
    <r>
      <rPr>
        <b/>
        <sz val="26"/>
        <color rgb="FF2E5395"/>
        <rFont val="Calibri"/>
        <family val="1"/>
      </rPr>
      <t xml:space="preserve">All Brand New EgyptAir Service ATL/CLT!
</t>
    </r>
    <r>
      <rPr>
        <b/>
        <sz val="20"/>
        <color rgb="FF2E5395"/>
        <rFont val="Calibri"/>
        <family val="1"/>
      </rPr>
      <t xml:space="preserve">With ALL-IN pricing to Cairo, and Points Beyond
</t>
    </r>
    <r>
      <rPr>
        <sz val="20"/>
        <color rgb="FF2E5395"/>
        <rFont val="Calibri"/>
        <family val="1"/>
      </rPr>
      <t>Validity from April 1st, 2025 until April 30</t>
    </r>
    <r>
      <rPr>
        <vertAlign val="superscript"/>
        <sz val="20"/>
        <color rgb="FF2E5395"/>
        <rFont val="Calibri"/>
        <family val="1"/>
      </rPr>
      <t>th</t>
    </r>
    <r>
      <rPr>
        <sz val="20"/>
        <color rgb="FF2E5395"/>
        <rFont val="Calibri"/>
        <family val="1"/>
      </rPr>
      <t>, 2025</t>
    </r>
  </si>
  <si>
    <r>
      <rPr>
        <b/>
        <sz val="11"/>
        <color rgb="FFFFFFFF"/>
        <rFont val="Times New Roman"/>
        <family val="1"/>
      </rPr>
      <t>ATL CLT</t>
    </r>
  </si>
  <si>
    <r>
      <rPr>
        <b/>
        <sz val="11"/>
        <color rgb="FFFFFFFF"/>
        <rFont val="Times New Roman"/>
        <family val="1"/>
      </rPr>
      <t>MIN</t>
    </r>
  </si>
  <si>
    <r>
      <rPr>
        <sz val="11"/>
        <rFont val="Times New Roman"/>
        <family val="1"/>
      </rPr>
      <t>CAI</t>
    </r>
  </si>
  <si>
    <r>
      <rPr>
        <sz val="11"/>
        <rFont val="Times New Roman"/>
        <family val="1"/>
      </rPr>
      <t>DXB</t>
    </r>
  </si>
  <si>
    <r>
      <rPr>
        <sz val="11"/>
        <rFont val="Times New Roman"/>
        <family val="1"/>
      </rPr>
      <t>SHJ DWC</t>
    </r>
  </si>
  <si>
    <r>
      <rPr>
        <sz val="11"/>
        <rFont val="Times New Roman"/>
        <family val="1"/>
      </rPr>
      <t>KWI</t>
    </r>
  </si>
  <si>
    <r>
      <rPr>
        <sz val="11"/>
        <rFont val="Times New Roman"/>
        <family val="1"/>
      </rPr>
      <t>RUH DMM</t>
    </r>
  </si>
  <si>
    <r>
      <rPr>
        <sz val="11"/>
        <rFont val="Times New Roman"/>
        <family val="1"/>
      </rPr>
      <t>IST</t>
    </r>
  </si>
  <si>
    <r>
      <rPr>
        <sz val="11"/>
        <rFont val="Times New Roman"/>
        <family val="1"/>
      </rPr>
      <t>CGK</t>
    </r>
  </si>
  <si>
    <r>
      <rPr>
        <sz val="11"/>
        <rFont val="Times New Roman"/>
        <family val="1"/>
      </rPr>
      <t>BOM</t>
    </r>
  </si>
  <si>
    <r>
      <rPr>
        <sz val="11"/>
        <rFont val="Times New Roman"/>
        <family val="1"/>
      </rPr>
      <t>JED</t>
    </r>
  </si>
  <si>
    <r>
      <rPr>
        <sz val="11"/>
        <rFont val="Times New Roman"/>
        <family val="1"/>
      </rPr>
      <t>CAN PVG PEK</t>
    </r>
  </si>
  <si>
    <r>
      <rPr>
        <sz val="11"/>
        <rFont val="Times New Roman"/>
        <family val="1"/>
      </rPr>
      <t>JNB</t>
    </r>
  </si>
  <si>
    <r>
      <rPr>
        <sz val="11"/>
        <rFont val="Times New Roman"/>
        <family val="1"/>
      </rPr>
      <t>LOS</t>
    </r>
  </si>
  <si>
    <r>
      <rPr>
        <sz val="11"/>
        <rFont val="Times New Roman"/>
        <family val="1"/>
      </rPr>
      <t>HKG</t>
    </r>
  </si>
  <si>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Minimum must be reached before 100kg rate applies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Rates are ALL-IN (including Fuel &amp; Security) Excluding EDI charges &amp; transit Shipment fee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Transit Shipment Fee: $.05/kg with a $25.00 min (not applicable for Final destination CAI).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Minimum Shipment Size of 100kg must be shown on the AWB otherwise TACT rates apply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Known Shipper, Lower Deck, General Cargo only
</t>
    </r>
    <r>
      <rPr>
        <sz val="11"/>
        <color rgb="FF2E5395"/>
        <rFont val="Symbol"/>
        <family val="5"/>
      </rPr>
      <t></t>
    </r>
    <r>
      <rPr>
        <sz val="11"/>
        <color rgb="FF2E5395"/>
        <rFont val="Times New Roman"/>
        <family val="1"/>
      </rPr>
      <t xml:space="preserve">     </t>
    </r>
    <r>
      <rPr>
        <sz val="11"/>
        <color rgb="FF2E5395"/>
        <rFont val="Calibri"/>
        <family val="1"/>
      </rPr>
      <t xml:space="preserve">Loose rates based on average density of 1:9 (DG6 IATA)
</t>
    </r>
    <r>
      <rPr>
        <sz val="11"/>
        <color rgb="FF2E5395"/>
        <rFont val="Symbol"/>
        <family val="5"/>
      </rPr>
      <t></t>
    </r>
    <r>
      <rPr>
        <sz val="11"/>
        <color rgb="FF2E5395"/>
        <rFont val="Times New Roman"/>
        <family val="1"/>
      </rPr>
      <t xml:space="preserve">     </t>
    </r>
    <r>
      <rPr>
        <sz val="11"/>
        <color rgb="FF2E5395"/>
        <rFont val="Calibri"/>
        <family val="1"/>
      </rPr>
      <t xml:space="preserve">Not valid for special cargo. Excludes Dangerous Goods (including DG in excepted quantities), MAG, RAD or DG in excepted or limited quantities
</t>
    </r>
    <r>
      <rPr>
        <sz val="11"/>
        <color rgb="FF2E5395"/>
        <rFont val="Symbol"/>
        <family val="5"/>
      </rPr>
      <t></t>
    </r>
    <r>
      <rPr>
        <sz val="11"/>
        <color rgb="FF2E5395"/>
        <rFont val="Times New Roman"/>
        <family val="1"/>
      </rPr>
      <t xml:space="preserve">     </t>
    </r>
    <r>
      <rPr>
        <sz val="11"/>
        <color rgb="FF2E5395"/>
        <rFont val="Calibri"/>
        <family val="1"/>
      </rPr>
      <t xml:space="preserve">Excludes Oversized Cargo (shipments containing pieces whose length exceeds 125 inches or width exceeds 96 inches)
</t>
    </r>
    <r>
      <rPr>
        <sz val="11"/>
        <color rgb="FF2E5395"/>
        <rFont val="Symbol"/>
        <family val="5"/>
      </rPr>
      <t></t>
    </r>
    <r>
      <rPr>
        <sz val="11"/>
        <color rgb="FF2E5395"/>
        <rFont val="Times New Roman"/>
        <family val="1"/>
      </rPr>
      <t xml:space="preserve">     </t>
    </r>
    <r>
      <rPr>
        <sz val="11"/>
        <color rgb="FF2E5395"/>
        <rFont val="Calibri"/>
        <family val="1"/>
      </rPr>
      <t xml:space="preserve">AWB execution date, not flown date, determines the validity of this agreement
</t>
    </r>
    <r>
      <rPr>
        <sz val="11"/>
        <color rgb="FF2E5395"/>
        <rFont val="Symbol"/>
        <family val="5"/>
      </rPr>
      <t></t>
    </r>
    <r>
      <rPr>
        <sz val="11"/>
        <color rgb="FF2E5395"/>
        <rFont val="Times New Roman"/>
        <family val="1"/>
      </rPr>
      <t xml:space="preserve">     </t>
    </r>
    <r>
      <rPr>
        <sz val="11"/>
        <color rgb="FF2E5395"/>
        <rFont val="Calibri"/>
        <family val="1"/>
      </rPr>
      <t>Rates are subject to capacity availability</t>
    </r>
  </si>
  <si>
    <r>
      <rPr>
        <sz val="14"/>
        <rFont val="Calibri"/>
        <family val="1"/>
      </rPr>
      <t xml:space="preserve">Brad Reyburne
</t>
    </r>
    <r>
      <rPr>
        <sz val="14"/>
        <rFont val="Calibri"/>
        <family val="1"/>
      </rPr>
      <t xml:space="preserve">Sales Manager </t>
    </r>
    <r>
      <rPr>
        <u/>
        <sz val="14"/>
        <color rgb="FF0462C1"/>
        <rFont val="Calibri"/>
        <family val="1"/>
      </rPr>
      <t xml:space="preserve">breyburne@atc-aviationusa.com
</t>
    </r>
    <r>
      <rPr>
        <sz val="14"/>
        <rFont val="Calibri"/>
        <family val="1"/>
      </rPr>
      <t xml:space="preserve">Tel: 770-527-8698
</t>
    </r>
    <r>
      <rPr>
        <sz val="14"/>
        <rFont val="Calibri"/>
        <family val="1"/>
      </rPr>
      <t xml:space="preserve">Bookings: </t>
    </r>
    <r>
      <rPr>
        <u/>
        <sz val="14"/>
        <color rgb="FF0462C1"/>
        <rFont val="Calibri"/>
        <family val="1"/>
      </rPr>
      <t xml:space="preserve">bookings@atc-aviationusa.com
</t>
    </r>
    <r>
      <rPr>
        <sz val="14"/>
        <rFont val="Calibri"/>
        <family val="1"/>
      </rPr>
      <t>1</t>
    </r>
    <r>
      <rPr>
        <sz val="14"/>
        <color rgb="FF0462C1"/>
        <rFont val="Calibri"/>
        <family val="1"/>
      </rPr>
      <t>-</t>
    </r>
    <r>
      <rPr>
        <sz val="14"/>
        <rFont val="Calibri"/>
        <family val="1"/>
      </rPr>
      <t>877-262-2746</t>
    </r>
  </si>
  <si>
    <t>MIN</t>
  </si>
  <si>
    <t>CAI</t>
  </si>
  <si>
    <t>DXB</t>
  </si>
  <si>
    <t>KWI</t>
  </si>
  <si>
    <t>IST</t>
  </si>
  <si>
    <t>CGK</t>
  </si>
  <si>
    <t>BOM</t>
  </si>
  <si>
    <t>JED</t>
  </si>
  <si>
    <t>JNB</t>
  </si>
  <si>
    <t>LOS</t>
  </si>
  <si>
    <t>HKG</t>
  </si>
  <si>
    <t>ATL/CLT</t>
  </si>
  <si>
    <t>SHJ/DWC</t>
  </si>
  <si>
    <t>RUH/DMM</t>
  </si>
  <si>
    <t>CAN/PVG/PEK</t>
  </si>
  <si>
    <t>n</t>
  </si>
  <si>
    <t>Columna1</t>
  </si>
  <si>
    <t>Columna2</t>
  </si>
  <si>
    <t>45</t>
  </si>
  <si>
    <t>100</t>
  </si>
  <si>
    <t>250</t>
  </si>
  <si>
    <t>500</t>
  </si>
  <si>
    <t>1000</t>
  </si>
  <si>
    <t>ATL</t>
  </si>
  <si>
    <t>CLT</t>
  </si>
  <si>
    <t>SHJ</t>
  </si>
  <si>
    <t>DWC</t>
  </si>
  <si>
    <t>RUH</t>
  </si>
  <si>
    <t>DMM</t>
  </si>
  <si>
    <t>CAN</t>
  </si>
  <si>
    <t>PVG</t>
  </si>
  <si>
    <t>PEK</t>
  </si>
  <si>
    <t>comment</t>
  </si>
  <si>
    <t>origin_id</t>
  </si>
  <si>
    <t>commodity_id</t>
  </si>
  <si>
    <t>insert</t>
  </si>
  <si>
    <t>cost</t>
  </si>
  <si>
    <t>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</si>
</sst>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;\-0"/>
    <numFmt numFmtId="165" formatCode="\$\ 0.00"/>
    <numFmt numFmtId="166" formatCode="\$0.00"/>
  </numFmts>
  <fonts count="20">
    <font>
      <sz val="10"/>
      <color rgb="FF000000"/>
      <name val="Times New Roman"/>
      <charset val="204"/>
    </font>
    <font>
      <b/>
      <sz val="11"/>
      <name val="Times New Roman"/>
    </font>
    <font>
      <b/>
      <sz val="11"/>
      <color rgb="FFFFFFFF"/>
      <name val="Times New Roman"/>
      <family val="2"/>
    </font>
    <font>
      <sz val="11"/>
      <name val="Times New Roman"/>
    </font>
    <font>
      <sz val="11"/>
      <color rgb="FF000000"/>
      <name val="Arial MT"/>
      <family val="2"/>
    </font>
    <font>
      <b/>
      <sz val="26"/>
      <color rgb="FF2E5395"/>
      <name val="Calibri"/>
      <family val="1"/>
    </font>
    <font>
      <b/>
      <sz val="20"/>
      <color rgb="FF2E5395"/>
      <name val="Calibri"/>
      <family val="1"/>
    </font>
    <font>
      <sz val="20"/>
      <color rgb="FF2E5395"/>
      <name val="Calibri"/>
      <family val="1"/>
    </font>
    <font>
      <vertAlign val="superscript"/>
      <sz val="20"/>
      <color rgb="FF2E5395"/>
      <name val="Calibri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sz val="12"/>
      <color rgb="FF2E5395"/>
      <name val="Symbol"/>
      <family val="5"/>
    </font>
    <font>
      <sz val="12"/>
      <color rgb="FF2E5395"/>
      <name val="Times New Roman"/>
      <family val="1"/>
    </font>
    <font>
      <b/>
      <sz val="12"/>
      <color rgb="FF2E5395"/>
      <name val="Calibri"/>
      <family val="1"/>
    </font>
    <font>
      <sz val="11"/>
      <color rgb="FF2E5395"/>
      <name val="Symbol"/>
      <family val="5"/>
    </font>
    <font>
      <sz val="11"/>
      <color rgb="FF2E5395"/>
      <name val="Times New Roman"/>
      <family val="1"/>
    </font>
    <font>
      <sz val="11"/>
      <color rgb="FF2E5395"/>
      <name val="Calibri"/>
      <family val="1"/>
    </font>
    <font>
      <sz val="14"/>
      <name val="Calibri"/>
      <family val="1"/>
    </font>
    <font>
      <u/>
      <sz val="14"/>
      <color rgb="FF0462C1"/>
      <name val="Calibri"/>
      <family val="1"/>
    </font>
    <font>
      <sz val="14"/>
      <color rgb="FF0462C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165" fontId="4" fillId="0" borderId="1" xfId="0" applyNumberFormat="1" applyFont="1" applyFill="1" applyBorder="1" applyAlignment="1">
      <alignment horizontal="center" vertical="top" shrinkToFit="1"/>
    </xf>
    <xf numFmtId="166" fontId="4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NumberFormat="1" applyFill="1" applyBorder="1" applyAlignment="1">
      <alignment horizontal="left" vertical="top"/>
    </xf>
    <xf numFmtId="0" fontId="0" fillId="0" borderId="0" xfId="0"/>
  </cellXfs>
  <cellStyles count="1">
    <cellStyle name="Normal" xfId="0" builtinId="0"/>
  </cellStyles>
  <dxfs count="2"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0</xdr:row>
      <xdr:rowOff>1263650</xdr:rowOff>
    </xdr:from>
    <xdr:ext cx="1662811" cy="66802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2811" cy="668020"/>
        </a:xfrm>
        <a:prstGeom prst="rect">
          <a:avLst/>
        </a:prstGeom>
      </xdr:spPr>
    </xdr:pic>
    <xdr:clientData/>
  </xdr:oneCellAnchor>
  <xdr:oneCellAnchor>
    <xdr:from>
      <xdr:col>0</xdr:col>
      <xdr:colOff>5319395</xdr:colOff>
      <xdr:row>2</xdr:row>
      <xdr:rowOff>0</xdr:rowOff>
    </xdr:from>
    <xdr:ext cx="1879219" cy="1252854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9219" cy="125285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xt\tariff\air\SWISS%20OHR%20(2).xlsx" TargetMode="External"/><Relationship Id="rId1" Type="http://schemas.openxmlformats.org/officeDocument/2006/relationships/externalLinkPath" Target="/next/tariff/air/SWISS%20OHR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ulta1"/>
      <sheetName val="Hoja1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DDD8C00-503F-41B9-81DA-DA970C2BFD29}" autoFormatId="16" applyNumberFormats="0" applyBorderFormats="0" applyFontFormats="0" applyPatternFormats="0" applyAlignmentFormats="0" applyWidthHeightFormats="0">
  <queryTableRefresh nextId="10">
    <queryTableFields count="9">
      <queryTableField id="1" name="Columna1" tableColumnId="1"/>
      <queryTableField id="2" name="Columna2" tableColumnId="2"/>
      <queryTableField id="3" name="MIN" tableColumnId="3"/>
      <queryTableField id="4" name="n" tableColumnId="4"/>
      <queryTableField id="5" name="45" tableColumnId="5"/>
      <queryTableField id="6" name="100" tableColumnId="6"/>
      <queryTableField id="7" name="250" tableColumnId="7"/>
      <queryTableField id="8" name="500" tableColumnId="8"/>
      <queryTableField id="9" name="100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9AE42-787B-4BCE-AA61-FAE9D50975DA}" name="Tabla1_1" displayName="Tabla1_1" ref="A1:I35" tableType="queryTable" totalsRowShown="0">
  <autoFilter ref="A1:I35" xr:uid="{E349AE42-787B-4BCE-AA61-FAE9D50975DA}"/>
  <tableColumns count="9">
    <tableColumn id="1" xr3:uid="{92ACBB7B-94EE-4D57-A8A5-E2BCF0BDB18F}" uniqueName="1" name="Columna1" queryTableFieldId="1" dataDxfId="1"/>
    <tableColumn id="2" xr3:uid="{7240922F-DF8A-4731-BEC6-EB1E7F09D90A}" uniqueName="2" name="Columna2" queryTableFieldId="2" dataDxfId="0"/>
    <tableColumn id="3" xr3:uid="{E8058AE0-4A0E-440E-9BA1-751E6061474F}" uniqueName="3" name="MIN" queryTableFieldId="3"/>
    <tableColumn id="4" xr3:uid="{F93D599E-4A8B-49A3-968D-898D9964B11B}" uniqueName="4" name="n" queryTableFieldId="4"/>
    <tableColumn id="5" xr3:uid="{D995211F-B565-4962-B40F-3CA7468AE8EF}" uniqueName="5" name="45" queryTableFieldId="5"/>
    <tableColumn id="6" xr3:uid="{1400B24C-F6A2-417B-B7B7-B07C3008E9E8}" uniqueName="6" name="100" queryTableFieldId="6"/>
    <tableColumn id="7" xr3:uid="{24980318-8049-429C-BAC1-B23EB613C7D0}" uniqueName="7" name="250" queryTableFieldId="7"/>
    <tableColumn id="8" xr3:uid="{954DBDB3-D016-4A66-875E-BC5845208688}" uniqueName="8" name="500" queryTableFieldId="8"/>
    <tableColumn id="9" xr3:uid="{FF260C83-4C9B-4DBE-BA4E-AEF34E940460}" uniqueName="9" name="1000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8AED6-36F5-4288-B9FD-67D1834AB573}" name="Tabla1" displayName="Tabla1" ref="A1:I14" totalsRowShown="0">
  <autoFilter ref="A1:I14" xr:uid="{72D8AED6-36F5-4288-B9FD-67D1834AB573}"/>
  <tableColumns count="9">
    <tableColumn id="1" xr3:uid="{03DCC265-69A6-488A-9027-CDEE83C6F5E0}" name="Columna1"/>
    <tableColumn id="2" xr3:uid="{FA78D0A5-C814-4E07-8EA5-B5B9205B5DB7}" name="Columna2"/>
    <tableColumn id="3" xr3:uid="{9CE31FB5-9B50-43C8-A581-ACBB6D973E61}" name="MIN"/>
    <tableColumn id="4" xr3:uid="{DB5C3882-1152-428B-8706-24A47809D95C}" name="n"/>
    <tableColumn id="5" xr3:uid="{29630B84-AAA6-4067-9E3C-C8A3A8D81B92}" name="45"/>
    <tableColumn id="6" xr3:uid="{ECB30478-93F4-426C-B89F-B8B8027B530A}" name="100"/>
    <tableColumn id="7" xr3:uid="{07F6A337-F5F0-4DF5-B62D-280EEB374815}" name="250"/>
    <tableColumn id="8" xr3:uid="{6A578646-8632-4D9A-97D1-6A4C22D22378}" name="500"/>
    <tableColumn id="9" xr3:uid="{E0097669-D525-41DC-B45F-744D87F9D346}" name="1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eyburne@atc-aviation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/>
  <cols>
    <col min="1" max="1" width="131.83203125" customWidth="1"/>
  </cols>
  <sheetData>
    <row r="1" spans="1:1" ht="98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sqref="A1:G14"/>
    </sheetView>
  </sheetViews>
  <sheetFormatPr baseColWidth="10" defaultColWidth="9.33203125" defaultRowHeight="12.75"/>
  <cols>
    <col min="1" max="1" width="43.83203125" customWidth="1"/>
    <col min="2" max="2" width="15.5" customWidth="1"/>
    <col min="3" max="3" width="15.33203125" customWidth="1"/>
    <col min="4" max="4" width="12.6640625" customWidth="1"/>
    <col min="5" max="5" width="15.33203125" customWidth="1"/>
    <col min="6" max="7" width="12.6640625" customWidth="1"/>
  </cols>
  <sheetData>
    <row r="1" spans="1:7" ht="25.7" customHeight="1">
      <c r="A1" s="2" t="s">
        <v>1</v>
      </c>
      <c r="B1" s="2" t="s">
        <v>2</v>
      </c>
      <c r="C1" s="3">
        <v>100</v>
      </c>
      <c r="D1" s="3">
        <v>250</v>
      </c>
      <c r="E1" s="3">
        <v>500</v>
      </c>
      <c r="F1" s="3">
        <v>1000</v>
      </c>
      <c r="G1" s="3">
        <v>3000</v>
      </c>
    </row>
    <row r="2" spans="1:7" ht="15.75" customHeight="1">
      <c r="A2" s="4" t="s">
        <v>3</v>
      </c>
      <c r="B2" s="5">
        <v>240</v>
      </c>
      <c r="C2" s="6">
        <v>2.4</v>
      </c>
      <c r="D2" s="6">
        <v>2</v>
      </c>
      <c r="E2" s="6">
        <v>1.85</v>
      </c>
      <c r="F2" s="6">
        <v>1.75</v>
      </c>
      <c r="G2" s="6">
        <v>1.7</v>
      </c>
    </row>
    <row r="3" spans="1:7" ht="15.75" customHeight="1">
      <c r="A3" s="4" t="s">
        <v>4</v>
      </c>
      <c r="B3" s="5">
        <v>230</v>
      </c>
      <c r="C3" s="6">
        <v>2.2999999999999998</v>
      </c>
      <c r="D3" s="6">
        <v>1.7</v>
      </c>
      <c r="E3" s="6">
        <v>1.55</v>
      </c>
      <c r="F3" s="6">
        <v>1.5</v>
      </c>
      <c r="G3" s="6">
        <v>1.5</v>
      </c>
    </row>
    <row r="4" spans="1:7" ht="15.75" customHeight="1">
      <c r="A4" s="4" t="s">
        <v>5</v>
      </c>
      <c r="B4" s="5">
        <v>230</v>
      </c>
      <c r="C4" s="6">
        <v>2.2999999999999998</v>
      </c>
      <c r="D4" s="6">
        <v>2.1</v>
      </c>
      <c r="E4" s="6">
        <v>2</v>
      </c>
      <c r="F4" s="6">
        <v>1.85</v>
      </c>
      <c r="G4" s="6">
        <v>1.85</v>
      </c>
    </row>
    <row r="5" spans="1:7" ht="15.75" customHeight="1">
      <c r="A5" s="4" t="s">
        <v>6</v>
      </c>
      <c r="B5" s="5">
        <v>230</v>
      </c>
      <c r="C5" s="6">
        <v>2.2999999999999998</v>
      </c>
      <c r="D5" s="6">
        <v>1.95</v>
      </c>
      <c r="E5" s="6">
        <v>1.75</v>
      </c>
      <c r="F5" s="6">
        <v>1.7</v>
      </c>
      <c r="G5" s="6">
        <v>1.7</v>
      </c>
    </row>
    <row r="6" spans="1:7" ht="15.75" customHeight="1">
      <c r="A6" s="4" t="s">
        <v>7</v>
      </c>
      <c r="B6" s="5">
        <v>230</v>
      </c>
      <c r="C6" s="6">
        <v>2.2999999999999998</v>
      </c>
      <c r="D6" s="6">
        <v>1.95</v>
      </c>
      <c r="E6" s="6">
        <v>1.75</v>
      </c>
      <c r="F6" s="6">
        <v>1.7</v>
      </c>
      <c r="G6" s="6">
        <v>1.7</v>
      </c>
    </row>
    <row r="7" spans="1:7" ht="15.75" customHeight="1">
      <c r="A7" s="4" t="s">
        <v>8</v>
      </c>
      <c r="B7" s="5">
        <v>230</v>
      </c>
      <c r="C7" s="6">
        <v>2.2999999999999998</v>
      </c>
      <c r="D7" s="6">
        <v>1.8</v>
      </c>
      <c r="E7" s="6">
        <v>1.7</v>
      </c>
      <c r="F7" s="6">
        <v>1.6</v>
      </c>
      <c r="G7" s="6">
        <v>1.6</v>
      </c>
    </row>
    <row r="8" spans="1:7" ht="15.75" customHeight="1">
      <c r="A8" s="4" t="s">
        <v>9</v>
      </c>
      <c r="B8" s="5">
        <v>240</v>
      </c>
      <c r="C8" s="6">
        <v>2.4</v>
      </c>
      <c r="D8" s="6">
        <v>1.7</v>
      </c>
      <c r="E8" s="6">
        <v>1.6</v>
      </c>
      <c r="F8" s="6">
        <v>1.55</v>
      </c>
      <c r="G8" s="6">
        <v>1.55</v>
      </c>
    </row>
    <row r="9" spans="1:7" ht="15.75" customHeight="1">
      <c r="A9" s="4" t="s">
        <v>10</v>
      </c>
      <c r="B9" s="5">
        <v>240</v>
      </c>
      <c r="C9" s="6">
        <v>2.4</v>
      </c>
      <c r="D9" s="6">
        <v>1.7</v>
      </c>
      <c r="E9" s="6">
        <v>1.65</v>
      </c>
      <c r="F9" s="6">
        <v>1.6</v>
      </c>
      <c r="G9" s="6">
        <v>1.55</v>
      </c>
    </row>
    <row r="10" spans="1:7" ht="15.75" customHeight="1">
      <c r="A10" s="4" t="s">
        <v>11</v>
      </c>
      <c r="B10" s="5">
        <v>230</v>
      </c>
      <c r="C10" s="6">
        <v>2.2999999999999998</v>
      </c>
      <c r="D10" s="6">
        <v>1.95</v>
      </c>
      <c r="E10" s="6">
        <v>1.75</v>
      </c>
      <c r="F10" s="6">
        <v>1.7</v>
      </c>
      <c r="G10" s="6">
        <v>1.7</v>
      </c>
    </row>
    <row r="11" spans="1:7" ht="15.75" customHeight="1">
      <c r="A11" s="4" t="s">
        <v>12</v>
      </c>
      <c r="B11" s="5">
        <v>230</v>
      </c>
      <c r="C11" s="6">
        <v>2.2999999999999998</v>
      </c>
      <c r="D11" s="6">
        <v>1.65</v>
      </c>
      <c r="E11" s="6">
        <v>1.55</v>
      </c>
      <c r="F11" s="6">
        <v>1.5</v>
      </c>
      <c r="G11" s="6">
        <v>1.5</v>
      </c>
    </row>
    <row r="12" spans="1:7" ht="15.75" customHeight="1">
      <c r="A12" s="4" t="s">
        <v>13</v>
      </c>
      <c r="B12" s="5">
        <v>320</v>
      </c>
      <c r="C12" s="6">
        <v>3.2</v>
      </c>
      <c r="D12" s="6">
        <v>2.8</v>
      </c>
      <c r="E12" s="6">
        <v>2.65</v>
      </c>
      <c r="F12" s="6">
        <v>2.5</v>
      </c>
      <c r="G12" s="6">
        <v>2.4500000000000002</v>
      </c>
    </row>
    <row r="13" spans="1:7" ht="15.75" customHeight="1">
      <c r="A13" s="4" t="s">
        <v>14</v>
      </c>
      <c r="B13" s="5">
        <v>400</v>
      </c>
      <c r="C13" s="6">
        <v>4</v>
      </c>
      <c r="D13" s="6">
        <v>3.6</v>
      </c>
      <c r="E13" s="6">
        <v>3.5</v>
      </c>
      <c r="F13" s="6">
        <v>3.4</v>
      </c>
      <c r="G13" s="6">
        <v>3.4</v>
      </c>
    </row>
    <row r="14" spans="1:7" ht="15.75" customHeight="1">
      <c r="A14" s="4" t="s">
        <v>15</v>
      </c>
      <c r="B14" s="5">
        <v>240</v>
      </c>
      <c r="C14" s="6">
        <v>2.4</v>
      </c>
      <c r="D14" s="6">
        <v>2</v>
      </c>
      <c r="E14" s="6">
        <v>1.9</v>
      </c>
      <c r="F14" s="6">
        <v>1.7</v>
      </c>
      <c r="G14" s="6">
        <v>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E851-5E4A-42A2-AE91-A3D0E9BF7207}">
  <dimension ref="A1:I35"/>
  <sheetViews>
    <sheetView workbookViewId="0">
      <selection activeCell="I35" sqref="A1:I35"/>
    </sheetView>
  </sheetViews>
  <sheetFormatPr baseColWidth="10" defaultRowHeight="12.75"/>
  <cols>
    <col min="1" max="2" width="13.1640625" bestFit="1" customWidth="1"/>
    <col min="3" max="3" width="7.83203125" bestFit="1" customWidth="1"/>
    <col min="4" max="4" width="5" bestFit="1" customWidth="1"/>
    <col min="5" max="5" width="6.1640625" bestFit="1" customWidth="1"/>
    <col min="6" max="8" width="7.33203125" bestFit="1" customWidth="1"/>
    <col min="9" max="9" width="8.5" bestFit="1" customWidth="1"/>
  </cols>
  <sheetData>
    <row r="1" spans="1:9">
      <c r="A1" t="s">
        <v>34</v>
      </c>
      <c r="B1" t="s">
        <v>35</v>
      </c>
      <c r="C1" t="s">
        <v>18</v>
      </c>
      <c r="D1" t="s">
        <v>33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 s="8" t="s">
        <v>41</v>
      </c>
      <c r="B2" s="8" t="s">
        <v>19</v>
      </c>
      <c r="C2">
        <v>240</v>
      </c>
      <c r="D2">
        <v>2.4</v>
      </c>
      <c r="E2">
        <v>2.4</v>
      </c>
      <c r="F2">
        <v>2.4</v>
      </c>
      <c r="G2">
        <v>2</v>
      </c>
      <c r="H2">
        <v>1.85</v>
      </c>
      <c r="I2">
        <v>1.75</v>
      </c>
    </row>
    <row r="3" spans="1:9">
      <c r="A3" s="8" t="s">
        <v>42</v>
      </c>
      <c r="B3" s="8" t="s">
        <v>19</v>
      </c>
      <c r="C3">
        <v>240</v>
      </c>
      <c r="D3">
        <v>2.4</v>
      </c>
      <c r="E3">
        <v>2.4</v>
      </c>
      <c r="F3">
        <v>2.4</v>
      </c>
      <c r="G3">
        <v>2</v>
      </c>
      <c r="H3">
        <v>1.85</v>
      </c>
      <c r="I3">
        <v>1.75</v>
      </c>
    </row>
    <row r="4" spans="1:9">
      <c r="A4" s="8" t="s">
        <v>41</v>
      </c>
      <c r="B4" s="8" t="s">
        <v>20</v>
      </c>
      <c r="C4">
        <v>230</v>
      </c>
      <c r="D4">
        <v>2.2999999999999998</v>
      </c>
      <c r="E4">
        <v>2.2999999999999998</v>
      </c>
      <c r="F4">
        <v>2.2999999999999998</v>
      </c>
      <c r="G4">
        <v>1.7</v>
      </c>
      <c r="H4">
        <v>1.55</v>
      </c>
      <c r="I4">
        <v>1.5</v>
      </c>
    </row>
    <row r="5" spans="1:9">
      <c r="A5" s="8" t="s">
        <v>42</v>
      </c>
      <c r="B5" s="8" t="s">
        <v>20</v>
      </c>
      <c r="C5">
        <v>230</v>
      </c>
      <c r="D5">
        <v>2.2999999999999998</v>
      </c>
      <c r="E5">
        <v>2.2999999999999998</v>
      </c>
      <c r="F5">
        <v>2.2999999999999998</v>
      </c>
      <c r="G5">
        <v>1.7</v>
      </c>
      <c r="H5">
        <v>1.55</v>
      </c>
      <c r="I5">
        <v>1.5</v>
      </c>
    </row>
    <row r="6" spans="1:9">
      <c r="A6" s="8" t="s">
        <v>41</v>
      </c>
      <c r="B6" s="8" t="s">
        <v>43</v>
      </c>
      <c r="C6">
        <v>230</v>
      </c>
      <c r="D6">
        <v>2.2999999999999998</v>
      </c>
      <c r="E6">
        <v>2.2999999999999998</v>
      </c>
      <c r="F6">
        <v>2.2999999999999998</v>
      </c>
      <c r="G6">
        <v>2.1</v>
      </c>
      <c r="H6">
        <v>2</v>
      </c>
      <c r="I6">
        <v>1.85</v>
      </c>
    </row>
    <row r="7" spans="1:9">
      <c r="A7" s="8" t="s">
        <v>41</v>
      </c>
      <c r="B7" s="8" t="s">
        <v>44</v>
      </c>
      <c r="C7">
        <v>230</v>
      </c>
      <c r="D7">
        <v>2.2999999999999998</v>
      </c>
      <c r="E7">
        <v>2.2999999999999998</v>
      </c>
      <c r="F7">
        <v>2.2999999999999998</v>
      </c>
      <c r="G7">
        <v>2.1</v>
      </c>
      <c r="H7">
        <v>2</v>
      </c>
      <c r="I7">
        <v>1.85</v>
      </c>
    </row>
    <row r="8" spans="1:9">
      <c r="A8" s="8" t="s">
        <v>42</v>
      </c>
      <c r="B8" s="8" t="s">
        <v>43</v>
      </c>
      <c r="C8">
        <v>230</v>
      </c>
      <c r="D8">
        <v>2.2999999999999998</v>
      </c>
      <c r="E8">
        <v>2.2999999999999998</v>
      </c>
      <c r="F8">
        <v>2.2999999999999998</v>
      </c>
      <c r="G8">
        <v>2.1</v>
      </c>
      <c r="H8">
        <v>2</v>
      </c>
      <c r="I8">
        <v>1.85</v>
      </c>
    </row>
    <row r="9" spans="1:9">
      <c r="A9" s="8" t="s">
        <v>42</v>
      </c>
      <c r="B9" s="8" t="s">
        <v>44</v>
      </c>
      <c r="C9">
        <v>230</v>
      </c>
      <c r="D9">
        <v>2.2999999999999998</v>
      </c>
      <c r="E9">
        <v>2.2999999999999998</v>
      </c>
      <c r="F9">
        <v>2.2999999999999998</v>
      </c>
      <c r="G9">
        <v>2.1</v>
      </c>
      <c r="H9">
        <v>2</v>
      </c>
      <c r="I9">
        <v>1.85</v>
      </c>
    </row>
    <row r="10" spans="1:9">
      <c r="A10" s="8" t="s">
        <v>41</v>
      </c>
      <c r="B10" s="8" t="s">
        <v>21</v>
      </c>
      <c r="C10">
        <v>230</v>
      </c>
      <c r="D10">
        <v>2.2999999999999998</v>
      </c>
      <c r="E10">
        <v>2.2999999999999998</v>
      </c>
      <c r="F10">
        <v>2.2999999999999998</v>
      </c>
      <c r="G10">
        <v>1.95</v>
      </c>
      <c r="H10">
        <v>1.75</v>
      </c>
      <c r="I10">
        <v>1.7</v>
      </c>
    </row>
    <row r="11" spans="1:9">
      <c r="A11" s="8" t="s">
        <v>42</v>
      </c>
      <c r="B11" s="8" t="s">
        <v>21</v>
      </c>
      <c r="C11">
        <v>230</v>
      </c>
      <c r="D11">
        <v>2.2999999999999998</v>
      </c>
      <c r="E11">
        <v>2.2999999999999998</v>
      </c>
      <c r="F11">
        <v>2.2999999999999998</v>
      </c>
      <c r="G11">
        <v>1.95</v>
      </c>
      <c r="H11">
        <v>1.75</v>
      </c>
      <c r="I11">
        <v>1.7</v>
      </c>
    </row>
    <row r="12" spans="1:9">
      <c r="A12" s="8" t="s">
        <v>41</v>
      </c>
      <c r="B12" s="8" t="s">
        <v>45</v>
      </c>
      <c r="C12">
        <v>230</v>
      </c>
      <c r="D12">
        <v>2.2999999999999998</v>
      </c>
      <c r="E12">
        <v>2.2999999999999998</v>
      </c>
      <c r="F12">
        <v>2.2999999999999998</v>
      </c>
      <c r="G12">
        <v>1.95</v>
      </c>
      <c r="H12">
        <v>1.75</v>
      </c>
      <c r="I12">
        <v>1.7</v>
      </c>
    </row>
    <row r="13" spans="1:9">
      <c r="A13" s="8" t="s">
        <v>41</v>
      </c>
      <c r="B13" s="8" t="s">
        <v>46</v>
      </c>
      <c r="C13">
        <v>230</v>
      </c>
      <c r="D13">
        <v>2.2999999999999998</v>
      </c>
      <c r="E13">
        <v>2.2999999999999998</v>
      </c>
      <c r="F13">
        <v>2.2999999999999998</v>
      </c>
      <c r="G13">
        <v>1.95</v>
      </c>
      <c r="H13">
        <v>1.75</v>
      </c>
      <c r="I13">
        <v>1.7</v>
      </c>
    </row>
    <row r="14" spans="1:9">
      <c r="A14" s="8" t="s">
        <v>42</v>
      </c>
      <c r="B14" s="8" t="s">
        <v>45</v>
      </c>
      <c r="C14">
        <v>230</v>
      </c>
      <c r="D14">
        <v>2.2999999999999998</v>
      </c>
      <c r="E14">
        <v>2.2999999999999998</v>
      </c>
      <c r="F14">
        <v>2.2999999999999998</v>
      </c>
      <c r="G14">
        <v>1.95</v>
      </c>
      <c r="H14">
        <v>1.75</v>
      </c>
      <c r="I14">
        <v>1.7</v>
      </c>
    </row>
    <row r="15" spans="1:9">
      <c r="A15" s="8" t="s">
        <v>42</v>
      </c>
      <c r="B15" s="8" t="s">
        <v>46</v>
      </c>
      <c r="C15">
        <v>230</v>
      </c>
      <c r="D15">
        <v>2.2999999999999998</v>
      </c>
      <c r="E15">
        <v>2.2999999999999998</v>
      </c>
      <c r="F15">
        <v>2.2999999999999998</v>
      </c>
      <c r="G15">
        <v>1.95</v>
      </c>
      <c r="H15">
        <v>1.75</v>
      </c>
      <c r="I15">
        <v>1.7</v>
      </c>
    </row>
    <row r="16" spans="1:9">
      <c r="A16" s="8" t="s">
        <v>41</v>
      </c>
      <c r="B16" s="8" t="s">
        <v>22</v>
      </c>
      <c r="C16">
        <v>230</v>
      </c>
      <c r="D16">
        <v>2.2999999999999998</v>
      </c>
      <c r="E16">
        <v>2.2999999999999998</v>
      </c>
      <c r="F16">
        <v>2.2999999999999998</v>
      </c>
      <c r="G16">
        <v>1.8</v>
      </c>
      <c r="H16">
        <v>1.7</v>
      </c>
      <c r="I16">
        <v>1.6</v>
      </c>
    </row>
    <row r="17" spans="1:9">
      <c r="A17" s="8" t="s">
        <v>42</v>
      </c>
      <c r="B17" s="8" t="s">
        <v>22</v>
      </c>
      <c r="C17">
        <v>230</v>
      </c>
      <c r="D17">
        <v>2.2999999999999998</v>
      </c>
      <c r="E17">
        <v>2.2999999999999998</v>
      </c>
      <c r="F17">
        <v>2.2999999999999998</v>
      </c>
      <c r="G17">
        <v>1.8</v>
      </c>
      <c r="H17">
        <v>1.7</v>
      </c>
      <c r="I17">
        <v>1.6</v>
      </c>
    </row>
    <row r="18" spans="1:9">
      <c r="A18" s="8" t="s">
        <v>41</v>
      </c>
      <c r="B18" s="8" t="s">
        <v>23</v>
      </c>
      <c r="C18">
        <v>240</v>
      </c>
      <c r="D18">
        <v>2.4</v>
      </c>
      <c r="E18">
        <v>2.4</v>
      </c>
      <c r="F18">
        <v>2.4</v>
      </c>
      <c r="G18">
        <v>1.7</v>
      </c>
      <c r="H18">
        <v>1.6</v>
      </c>
      <c r="I18">
        <v>1.55</v>
      </c>
    </row>
    <row r="19" spans="1:9">
      <c r="A19" s="8" t="s">
        <v>42</v>
      </c>
      <c r="B19" s="8" t="s">
        <v>23</v>
      </c>
      <c r="C19">
        <v>240</v>
      </c>
      <c r="D19">
        <v>2.4</v>
      </c>
      <c r="E19">
        <v>2.4</v>
      </c>
      <c r="F19">
        <v>2.4</v>
      </c>
      <c r="G19">
        <v>1.7</v>
      </c>
      <c r="H19">
        <v>1.6</v>
      </c>
      <c r="I19">
        <v>1.55</v>
      </c>
    </row>
    <row r="20" spans="1:9">
      <c r="A20" s="8" t="s">
        <v>41</v>
      </c>
      <c r="B20" s="8" t="s">
        <v>24</v>
      </c>
      <c r="C20">
        <v>240</v>
      </c>
      <c r="D20">
        <v>2.4</v>
      </c>
      <c r="E20">
        <v>2.4</v>
      </c>
      <c r="F20">
        <v>2.4</v>
      </c>
      <c r="G20">
        <v>1.7</v>
      </c>
      <c r="H20">
        <v>1.65</v>
      </c>
      <c r="I20">
        <v>1.6</v>
      </c>
    </row>
    <row r="21" spans="1:9">
      <c r="A21" s="8" t="s">
        <v>42</v>
      </c>
      <c r="B21" s="8" t="s">
        <v>24</v>
      </c>
      <c r="C21">
        <v>240</v>
      </c>
      <c r="D21">
        <v>2.4</v>
      </c>
      <c r="E21">
        <v>2.4</v>
      </c>
      <c r="F21">
        <v>2.4</v>
      </c>
      <c r="G21">
        <v>1.7</v>
      </c>
      <c r="H21">
        <v>1.65</v>
      </c>
      <c r="I21">
        <v>1.6</v>
      </c>
    </row>
    <row r="22" spans="1:9">
      <c r="A22" s="8" t="s">
        <v>41</v>
      </c>
      <c r="B22" s="8" t="s">
        <v>25</v>
      </c>
      <c r="C22">
        <v>230</v>
      </c>
      <c r="D22">
        <v>2.2999999999999998</v>
      </c>
      <c r="E22">
        <v>2.2999999999999998</v>
      </c>
      <c r="F22">
        <v>2.2999999999999998</v>
      </c>
      <c r="G22">
        <v>1.95</v>
      </c>
      <c r="H22">
        <v>1.75</v>
      </c>
      <c r="I22">
        <v>1.7</v>
      </c>
    </row>
    <row r="23" spans="1:9">
      <c r="A23" s="8" t="s">
        <v>42</v>
      </c>
      <c r="B23" s="8" t="s">
        <v>25</v>
      </c>
      <c r="C23">
        <v>230</v>
      </c>
      <c r="D23">
        <v>2.2999999999999998</v>
      </c>
      <c r="E23">
        <v>2.2999999999999998</v>
      </c>
      <c r="F23">
        <v>2.2999999999999998</v>
      </c>
      <c r="G23">
        <v>1.95</v>
      </c>
      <c r="H23">
        <v>1.75</v>
      </c>
      <c r="I23">
        <v>1.7</v>
      </c>
    </row>
    <row r="24" spans="1:9">
      <c r="A24" s="8" t="s">
        <v>41</v>
      </c>
      <c r="B24" s="8" t="s">
        <v>47</v>
      </c>
      <c r="C24">
        <v>230</v>
      </c>
      <c r="D24">
        <v>2.2999999999999998</v>
      </c>
      <c r="E24">
        <v>2.2999999999999998</v>
      </c>
      <c r="F24">
        <v>2.2999999999999998</v>
      </c>
      <c r="G24">
        <v>1.65</v>
      </c>
      <c r="H24">
        <v>1.55</v>
      </c>
      <c r="I24">
        <v>1.5</v>
      </c>
    </row>
    <row r="25" spans="1:9">
      <c r="A25" s="8" t="s">
        <v>41</v>
      </c>
      <c r="B25" s="8" t="s">
        <v>48</v>
      </c>
      <c r="C25">
        <v>230</v>
      </c>
      <c r="D25">
        <v>2.2999999999999998</v>
      </c>
      <c r="E25">
        <v>2.2999999999999998</v>
      </c>
      <c r="F25">
        <v>2.2999999999999998</v>
      </c>
      <c r="G25">
        <v>1.65</v>
      </c>
      <c r="H25">
        <v>1.55</v>
      </c>
      <c r="I25">
        <v>1.5</v>
      </c>
    </row>
    <row r="26" spans="1:9">
      <c r="A26" s="8" t="s">
        <v>41</v>
      </c>
      <c r="B26" s="8" t="s">
        <v>49</v>
      </c>
      <c r="C26">
        <v>230</v>
      </c>
      <c r="D26">
        <v>2.2999999999999998</v>
      </c>
      <c r="E26">
        <v>2.2999999999999998</v>
      </c>
      <c r="F26">
        <v>2.2999999999999998</v>
      </c>
      <c r="G26">
        <v>1.65</v>
      </c>
      <c r="H26">
        <v>1.55</v>
      </c>
      <c r="I26">
        <v>1.5</v>
      </c>
    </row>
    <row r="27" spans="1:9">
      <c r="A27" s="8" t="s">
        <v>42</v>
      </c>
      <c r="B27" s="8" t="s">
        <v>47</v>
      </c>
      <c r="C27">
        <v>230</v>
      </c>
      <c r="D27">
        <v>2.2999999999999998</v>
      </c>
      <c r="E27">
        <v>2.2999999999999998</v>
      </c>
      <c r="F27">
        <v>2.2999999999999998</v>
      </c>
      <c r="G27">
        <v>1.65</v>
      </c>
      <c r="H27">
        <v>1.55</v>
      </c>
      <c r="I27">
        <v>1.5</v>
      </c>
    </row>
    <row r="28" spans="1:9">
      <c r="A28" s="8" t="s">
        <v>42</v>
      </c>
      <c r="B28" s="8" t="s">
        <v>48</v>
      </c>
      <c r="C28">
        <v>230</v>
      </c>
      <c r="D28">
        <v>2.2999999999999998</v>
      </c>
      <c r="E28">
        <v>2.2999999999999998</v>
      </c>
      <c r="F28">
        <v>2.2999999999999998</v>
      </c>
      <c r="G28">
        <v>1.65</v>
      </c>
      <c r="H28">
        <v>1.55</v>
      </c>
      <c r="I28">
        <v>1.5</v>
      </c>
    </row>
    <row r="29" spans="1:9">
      <c r="A29" s="8" t="s">
        <v>42</v>
      </c>
      <c r="B29" s="8" t="s">
        <v>49</v>
      </c>
      <c r="C29">
        <v>230</v>
      </c>
      <c r="D29">
        <v>2.2999999999999998</v>
      </c>
      <c r="E29">
        <v>2.2999999999999998</v>
      </c>
      <c r="F29">
        <v>2.2999999999999998</v>
      </c>
      <c r="G29">
        <v>1.65</v>
      </c>
      <c r="H29">
        <v>1.55</v>
      </c>
      <c r="I29">
        <v>1.5</v>
      </c>
    </row>
    <row r="30" spans="1:9">
      <c r="A30" s="8" t="s">
        <v>41</v>
      </c>
      <c r="B30" s="8" t="s">
        <v>26</v>
      </c>
      <c r="C30">
        <v>320</v>
      </c>
      <c r="D30">
        <v>3.2</v>
      </c>
      <c r="E30">
        <v>3.2</v>
      </c>
      <c r="F30">
        <v>3.2</v>
      </c>
      <c r="G30">
        <v>2.8</v>
      </c>
      <c r="H30">
        <v>2.65</v>
      </c>
      <c r="I30">
        <v>2.5</v>
      </c>
    </row>
    <row r="31" spans="1:9">
      <c r="A31" s="8" t="s">
        <v>42</v>
      </c>
      <c r="B31" s="8" t="s">
        <v>26</v>
      </c>
      <c r="C31">
        <v>320</v>
      </c>
      <c r="D31">
        <v>3.2</v>
      </c>
      <c r="E31">
        <v>3.2</v>
      </c>
      <c r="F31">
        <v>3.2</v>
      </c>
      <c r="G31">
        <v>2.8</v>
      </c>
      <c r="H31">
        <v>2.65</v>
      </c>
      <c r="I31">
        <v>2.5</v>
      </c>
    </row>
    <row r="32" spans="1:9">
      <c r="A32" s="8" t="s">
        <v>41</v>
      </c>
      <c r="B32" s="8" t="s">
        <v>27</v>
      </c>
      <c r="C32">
        <v>400</v>
      </c>
      <c r="D32">
        <v>4</v>
      </c>
      <c r="E32">
        <v>4</v>
      </c>
      <c r="F32">
        <v>4</v>
      </c>
      <c r="G32">
        <v>3.6</v>
      </c>
      <c r="H32">
        <v>3.5</v>
      </c>
      <c r="I32">
        <v>3.4</v>
      </c>
    </row>
    <row r="33" spans="1:9">
      <c r="A33" s="8" t="s">
        <v>42</v>
      </c>
      <c r="B33" s="8" t="s">
        <v>27</v>
      </c>
      <c r="C33">
        <v>400</v>
      </c>
      <c r="D33">
        <v>4</v>
      </c>
      <c r="E33">
        <v>4</v>
      </c>
      <c r="F33">
        <v>4</v>
      </c>
      <c r="G33">
        <v>3.6</v>
      </c>
      <c r="H33">
        <v>3.5</v>
      </c>
      <c r="I33">
        <v>3.4</v>
      </c>
    </row>
    <row r="34" spans="1:9">
      <c r="A34" s="8" t="s">
        <v>41</v>
      </c>
      <c r="B34" s="8" t="s">
        <v>28</v>
      </c>
      <c r="C34">
        <v>240</v>
      </c>
      <c r="D34">
        <v>2.4</v>
      </c>
      <c r="E34">
        <v>2.4</v>
      </c>
      <c r="F34">
        <v>2.4</v>
      </c>
      <c r="G34">
        <v>2</v>
      </c>
      <c r="H34">
        <v>1.9</v>
      </c>
      <c r="I34">
        <v>1.7</v>
      </c>
    </row>
    <row r="35" spans="1:9">
      <c r="A35" s="8" t="s">
        <v>42</v>
      </c>
      <c r="B35" s="8" t="s">
        <v>28</v>
      </c>
      <c r="C35">
        <v>240</v>
      </c>
      <c r="D35">
        <v>2.4</v>
      </c>
      <c r="E35">
        <v>2.4</v>
      </c>
      <c r="F35">
        <v>2.4</v>
      </c>
      <c r="G35">
        <v>2</v>
      </c>
      <c r="H35">
        <v>1.9</v>
      </c>
      <c r="I35">
        <v>1.7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46B1-2948-44CA-9727-BEDD2D99FEFA}">
  <dimension ref="A1:P35"/>
  <sheetViews>
    <sheetView tabSelected="1" workbookViewId="0">
      <selection activeCell="O2" sqref="O2:O35"/>
    </sheetView>
  </sheetViews>
  <sheetFormatPr baseColWidth="10" defaultRowHeight="12.75"/>
  <sheetData>
    <row r="1" spans="1:16">
      <c r="A1" t="s">
        <v>34</v>
      </c>
      <c r="B1" t="s">
        <v>35</v>
      </c>
      <c r="E1" t="s">
        <v>18</v>
      </c>
      <c r="F1" t="s">
        <v>33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s="9" t="s">
        <v>50</v>
      </c>
      <c r="M1" s="9" t="s">
        <v>51</v>
      </c>
      <c r="N1" s="9" t="s">
        <v>52</v>
      </c>
      <c r="O1" s="9" t="s">
        <v>53</v>
      </c>
      <c r="P1" s="9" t="s">
        <v>54</v>
      </c>
    </row>
    <row r="2" spans="1:16">
      <c r="A2" t="s">
        <v>41</v>
      </c>
      <c r="B2" t="s">
        <v>19</v>
      </c>
      <c r="C2" s="9">
        <f>VLOOKUP(B2,[1]!Consulta1[#All],2,FALSE)</f>
        <v>50830</v>
      </c>
      <c r="E2">
        <v>240</v>
      </c>
      <c r="F2">
        <v>2.4</v>
      </c>
      <c r="G2">
        <v>2.4</v>
      </c>
      <c r="H2">
        <v>2.4</v>
      </c>
      <c r="I2">
        <v>2</v>
      </c>
      <c r="J2">
        <v>1.85</v>
      </c>
      <c r="K2">
        <v>1.75</v>
      </c>
      <c r="L2" s="9" t="s">
        <v>55</v>
      </c>
      <c r="M2" s="9">
        <f>VLOOKUP(A2,[1]!Consulta1[#All],2,FALSE)</f>
        <v>38</v>
      </c>
      <c r="N2" s="9">
        <v>4</v>
      </c>
      <c r="O2" s="9" t="str">
        <f>CONCATENATE("insert tariffs (origin_id,destin_id,provider_id,airline_id,comodity_id,min,n,comments,active,user_id,type_tariff,forty_five_more,hundred_more,three_hundred_more,five_hundred_more,thousand_more,f_end,created_at,updated_at,airchaft,cost, offer) values ('",M2,"','",C2,"','8265','8296','",$N$2,"','",E2,"','",F2,"','",$L$2,"',1,1,3,'",G2,"','",H2,"','",I2,"','",J2,"','",K2,"','2025-04-30',now(),now(),2,'",P2,"','1');")</f>
        <v>insert tariffs (origin_id,destin_id,provider_id,airline_id,comodity_id,min,n,comments,active,user_id,type_tariff,forty_five_more,hundred_more,three_hundred_more,five_hundred_more,thousand_more,f_end,created_at,updated_at,airchaft,cost, offer) values ('38','50830','8265','8296','4','240','2.4','&lt;p&gt;EGP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accepted&lt;/p&gt;',1,1,3,'2.4','2.4','2','1.85','1.75','2025-04-30',now(),now(),2,'0','1');</v>
      </c>
      <c r="P2" s="9">
        <v>0</v>
      </c>
    </row>
    <row r="3" spans="1:16">
      <c r="A3" t="s">
        <v>42</v>
      </c>
      <c r="B3" t="s">
        <v>19</v>
      </c>
      <c r="C3" s="9">
        <f>VLOOKUP(B3,[1]!Consulta1[#All],2,FALSE)</f>
        <v>50830</v>
      </c>
      <c r="E3">
        <v>240</v>
      </c>
      <c r="F3">
        <v>2.4</v>
      </c>
      <c r="G3">
        <v>2.4</v>
      </c>
      <c r="H3">
        <v>2.4</v>
      </c>
      <c r="I3">
        <v>2</v>
      </c>
      <c r="J3">
        <v>1.85</v>
      </c>
      <c r="K3">
        <v>1.75</v>
      </c>
      <c r="M3" s="9">
        <f>VLOOKUP(A3,[1]!Consulta1[#All],2,FALSE)</f>
        <v>114</v>
      </c>
      <c r="O3" s="9" t="str">
        <f t="shared" ref="O3:O35" si="0">CONCATENATE("insert tariffs (origin_id,destin_id,provider_id,airline_id,comodity_id,min,n,comments,active,user_id,type_tariff,forty_five_more,hundred_more,three_hundred_more,five_hundred_more,thousand_more,f_end,created_at,updated_at,airchaft,cost, offer) values ('",M3,"','",C3,"','8265','8296','",$N$2,"','",E3,"','",F3,"','",$L$2,"',1,1,3,'",G3,"','",H3,"','",I3,"','",J3,"','",K3,"','2025-04-30',now(),now(),2,'",P3,"','1');")</f>
        <v>insert tariffs (origin_id,destin_id,provider_id,airline_id,comodity_id,min,n,comments,active,user_id,type_tariff,forty_five_more,hundred_more,three_hundred_more,five_hundred_more,thousand_more,f_end,created_at,updated_at,airchaft,cost, offer) values ('114','50830','8265','8296','4','240','2.4','&lt;p&gt;EGP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accepted&lt;/p&gt;',1,1,3,'2.4','2.4','2','1.85','1.75','2025-04-30',now(),now(),2,'0','1');</v>
      </c>
      <c r="P3" s="9">
        <v>0</v>
      </c>
    </row>
    <row r="4" spans="1:16">
      <c r="A4" t="s">
        <v>41</v>
      </c>
      <c r="B4" t="s">
        <v>20</v>
      </c>
      <c r="C4" s="9">
        <f>VLOOKUP(B4,[1]!Consulta1[#All],2,FALSE)</f>
        <v>39771</v>
      </c>
      <c r="E4">
        <v>230</v>
      </c>
      <c r="F4">
        <v>2.2999999999999998</v>
      </c>
      <c r="G4">
        <v>2.2999999999999998</v>
      </c>
      <c r="H4">
        <v>2.2999999999999998</v>
      </c>
      <c r="I4">
        <v>1.7</v>
      </c>
      <c r="J4">
        <v>1.55</v>
      </c>
      <c r="K4">
        <v>1.5</v>
      </c>
      <c r="M4" s="9">
        <f>VLOOKUP(A4,[1]!Consulta1[#All],2,FALSE)</f>
        <v>38</v>
      </c>
      <c r="O4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('38','39771','8265','8296','4','230','2.3','&lt;p&gt;EGP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accepted&lt;/p&gt;',1,1,3,'2.3','2.3','1.7','1.55','1.5','2025-04-30',now(),now(),2,'0','1');</v>
      </c>
      <c r="P4" s="9">
        <v>0</v>
      </c>
    </row>
    <row r="5" spans="1:16">
      <c r="A5" t="s">
        <v>42</v>
      </c>
      <c r="B5" t="s">
        <v>20</v>
      </c>
      <c r="C5" s="9">
        <f>VLOOKUP(B5,[1]!Consulta1[#All],2,FALSE)</f>
        <v>39771</v>
      </c>
      <c r="E5">
        <v>230</v>
      </c>
      <c r="F5">
        <v>2.2999999999999998</v>
      </c>
      <c r="G5">
        <v>2.2999999999999998</v>
      </c>
      <c r="H5">
        <v>2.2999999999999998</v>
      </c>
      <c r="I5">
        <v>1.7</v>
      </c>
      <c r="J5">
        <v>1.55</v>
      </c>
      <c r="K5">
        <v>1.5</v>
      </c>
      <c r="M5" s="9">
        <f>VLOOKUP(A5,[1]!Consulta1[#All],2,FALSE)</f>
        <v>114</v>
      </c>
      <c r="O5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('114','39771','8265','8296','4','230','2.3','&lt;p&gt;EGP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accepted&lt;/p&gt;',1,1,3,'2.3','2.3','1.7','1.55','1.5','2025-04-30',now(),now(),2,'0','1');</v>
      </c>
      <c r="P5" s="9">
        <v>0</v>
      </c>
    </row>
    <row r="6" spans="1:16">
      <c r="A6" t="s">
        <v>41</v>
      </c>
      <c r="B6" t="s">
        <v>43</v>
      </c>
      <c r="C6" s="9">
        <f>VLOOKUP(B6,[1]!Consulta1[#All],2,FALSE)</f>
        <v>51040</v>
      </c>
      <c r="E6">
        <v>230</v>
      </c>
      <c r="F6">
        <v>2.2999999999999998</v>
      </c>
      <c r="G6">
        <v>2.2999999999999998</v>
      </c>
      <c r="H6">
        <v>2.2999999999999998</v>
      </c>
      <c r="I6">
        <v>2.1</v>
      </c>
      <c r="J6">
        <v>2</v>
      </c>
      <c r="K6">
        <v>1.85</v>
      </c>
      <c r="M6" s="9">
        <f>VLOOKUP(A6,[1]!Consulta1[#All],2,FALSE)</f>
        <v>38</v>
      </c>
      <c r="O6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('38','51040','8265','8296','4','230','2.3','&lt;p&gt;EGP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accepted&lt;/p&gt;',1,1,3,'2.3','2.3','2.1','2','1.85','2025-04-30',now(),now(),2,'0','1');</v>
      </c>
      <c r="P6" s="9">
        <v>0</v>
      </c>
    </row>
    <row r="7" spans="1:16">
      <c r="A7" t="s">
        <v>41</v>
      </c>
      <c r="B7" t="s">
        <v>44</v>
      </c>
      <c r="C7" s="9">
        <f>VLOOKUP(B7,[1]!Consulta1[#All],2,FALSE)</f>
        <v>50045</v>
      </c>
      <c r="E7">
        <v>230</v>
      </c>
      <c r="F7">
        <v>2.2999999999999998</v>
      </c>
      <c r="G7">
        <v>2.2999999999999998</v>
      </c>
      <c r="H7">
        <v>2.2999999999999998</v>
      </c>
      <c r="I7">
        <v>2.1</v>
      </c>
      <c r="J7">
        <v>2</v>
      </c>
      <c r="K7">
        <v>1.85</v>
      </c>
      <c r="M7" s="9">
        <f>VLOOKUP(A7,[1]!Consulta1[#All],2,FALSE)</f>
        <v>38</v>
      </c>
      <c r="O7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('38','50045','8265','8296','4','230','2.3','&lt;p&gt;EGP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accepted&lt;/p&gt;',1,1,3,'2.3','2.3','2.1','2','1.85','2025-04-30',now(),now(),2,'0','1');</v>
      </c>
      <c r="P7" s="9">
        <v>0</v>
      </c>
    </row>
    <row r="8" spans="1:16">
      <c r="A8" t="s">
        <v>42</v>
      </c>
      <c r="B8" t="s">
        <v>43</v>
      </c>
      <c r="C8" s="9">
        <f>VLOOKUP(B8,[1]!Consulta1[#All],2,FALSE)</f>
        <v>51040</v>
      </c>
      <c r="E8">
        <v>230</v>
      </c>
      <c r="F8">
        <v>2.2999999999999998</v>
      </c>
      <c r="G8">
        <v>2.2999999999999998</v>
      </c>
      <c r="H8">
        <v>2.2999999999999998</v>
      </c>
      <c r="I8">
        <v>2.1</v>
      </c>
      <c r="J8">
        <v>2</v>
      </c>
      <c r="K8">
        <v>1.85</v>
      </c>
      <c r="M8" s="9">
        <f>VLOOKUP(A8,[1]!Consulta1[#All],2,FALSE)</f>
        <v>114</v>
      </c>
      <c r="O8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('114','51040','8265','8296','4','230','2.3','&lt;p&gt;EGP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accepted&lt;/p&gt;',1,1,3,'2.3','2.3','2.1','2','1.85','2025-04-30',now(),now(),2,'0','1');</v>
      </c>
      <c r="P8" s="9">
        <v>0</v>
      </c>
    </row>
    <row r="9" spans="1:16">
      <c r="A9" t="s">
        <v>42</v>
      </c>
      <c r="B9" t="s">
        <v>44</v>
      </c>
      <c r="C9" s="9">
        <f>VLOOKUP(B9,[1]!Consulta1[#All],2,FALSE)</f>
        <v>50045</v>
      </c>
      <c r="E9">
        <v>230</v>
      </c>
      <c r="F9">
        <v>2.2999999999999998</v>
      </c>
      <c r="G9">
        <v>2.2999999999999998</v>
      </c>
      <c r="H9">
        <v>2.2999999999999998</v>
      </c>
      <c r="I9">
        <v>2.1</v>
      </c>
      <c r="J9">
        <v>2</v>
      </c>
      <c r="K9">
        <v>1.85</v>
      </c>
      <c r="M9" s="9">
        <f>VLOOKUP(A9,[1]!Consulta1[#All],2,FALSE)</f>
        <v>114</v>
      </c>
      <c r="O9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('114','50045','8265','8296','4','230','2.3','&lt;p&gt;EGP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accepted&lt;/p&gt;',1,1,3,'2.3','2.3','2.1','2','1.85','2025-04-30',now(),now(),2,'0','1');</v>
      </c>
      <c r="P9" s="9">
        <v>0</v>
      </c>
    </row>
    <row r="10" spans="1:16">
      <c r="A10" t="s">
        <v>41</v>
      </c>
      <c r="B10" t="s">
        <v>21</v>
      </c>
      <c r="C10" s="9">
        <f>VLOOKUP(B10,[1]!Consulta1[#All],2,FALSE)</f>
        <v>51036</v>
      </c>
      <c r="E10">
        <v>230</v>
      </c>
      <c r="F10">
        <v>2.2999999999999998</v>
      </c>
      <c r="G10">
        <v>2.2999999999999998</v>
      </c>
      <c r="H10">
        <v>2.2999999999999998</v>
      </c>
      <c r="I10">
        <v>1.95</v>
      </c>
      <c r="J10">
        <v>1.75</v>
      </c>
      <c r="K10">
        <v>1.7</v>
      </c>
      <c r="M10" s="9">
        <f>VLOOKUP(A10,[1]!Consulta1[#All],2,FALSE)</f>
        <v>38</v>
      </c>
      <c r="O10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('38','51036','8265','8296','4','230','2.3','&lt;p&gt;EGP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accepted&lt;/p&gt;',1,1,3,'2.3','2.3','1.95','1.75','1.7','2025-04-30',now(),now(),2,'0','1');</v>
      </c>
      <c r="P10" s="9">
        <v>0</v>
      </c>
    </row>
    <row r="11" spans="1:16">
      <c r="A11" t="s">
        <v>42</v>
      </c>
      <c r="B11" t="s">
        <v>21</v>
      </c>
      <c r="C11" s="9">
        <f>VLOOKUP(B11,[1]!Consulta1[#All],2,FALSE)</f>
        <v>51036</v>
      </c>
      <c r="E11">
        <v>230</v>
      </c>
      <c r="F11">
        <v>2.2999999999999998</v>
      </c>
      <c r="G11">
        <v>2.2999999999999998</v>
      </c>
      <c r="H11">
        <v>2.2999999999999998</v>
      </c>
      <c r="I11">
        <v>1.95</v>
      </c>
      <c r="J11">
        <v>1.75</v>
      </c>
      <c r="K11">
        <v>1.7</v>
      </c>
      <c r="M11" s="9">
        <f>VLOOKUP(A11,[1]!Consulta1[#All],2,FALSE)</f>
        <v>114</v>
      </c>
      <c r="O11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('114','51036','8265','8296','4','230','2.3','&lt;p&gt;EGP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accepted&lt;/p&gt;',1,1,3,'2.3','2.3','1.95','1.75','1.7','2025-04-30',now(),now(),2,'0','1');</v>
      </c>
      <c r="P11" s="9">
        <v>0</v>
      </c>
    </row>
    <row r="12" spans="1:16">
      <c r="A12" t="s">
        <v>41</v>
      </c>
      <c r="B12" t="s">
        <v>45</v>
      </c>
      <c r="C12" s="9">
        <f>VLOOKUP(B12,[1]!Consulta1[#All],2,FALSE)</f>
        <v>529</v>
      </c>
      <c r="E12">
        <v>230</v>
      </c>
      <c r="F12">
        <v>2.2999999999999998</v>
      </c>
      <c r="G12">
        <v>2.2999999999999998</v>
      </c>
      <c r="H12">
        <v>2.2999999999999998</v>
      </c>
      <c r="I12">
        <v>1.95</v>
      </c>
      <c r="J12">
        <v>1.75</v>
      </c>
      <c r="K12">
        <v>1.7</v>
      </c>
      <c r="M12" s="9">
        <f>VLOOKUP(A12,[1]!Consulta1[#All],2,FALSE)</f>
        <v>38</v>
      </c>
      <c r="O12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('38','529','8265','8296','4','230','2.3','&lt;p&gt;EGP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accepted&lt;/p&gt;',1,1,3,'2.3','2.3','1.95','1.75','1.7','2025-04-30',now(),now(),2,'0','1');</v>
      </c>
      <c r="P12" s="9">
        <v>0</v>
      </c>
    </row>
    <row r="13" spans="1:16">
      <c r="A13" t="s">
        <v>41</v>
      </c>
      <c r="B13" t="s">
        <v>46</v>
      </c>
      <c r="C13" s="9">
        <f>VLOOKUP(B13,[1]!Consulta1[#All],2,FALSE)</f>
        <v>49782</v>
      </c>
      <c r="E13">
        <v>230</v>
      </c>
      <c r="F13">
        <v>2.2999999999999998</v>
      </c>
      <c r="G13">
        <v>2.2999999999999998</v>
      </c>
      <c r="H13">
        <v>2.2999999999999998</v>
      </c>
      <c r="I13">
        <v>1.95</v>
      </c>
      <c r="J13">
        <v>1.75</v>
      </c>
      <c r="K13">
        <v>1.7</v>
      </c>
      <c r="M13" s="9">
        <f>VLOOKUP(A13,[1]!Consulta1[#All],2,FALSE)</f>
        <v>38</v>
      </c>
      <c r="O13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('38','49782','8265','8296','4','230','2.3','&lt;p&gt;EGP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accepted&lt;/p&gt;',1,1,3,'2.3','2.3','1.95','1.75','1.7','2025-04-30',now(),now(),2,'0','1');</v>
      </c>
      <c r="P13" s="9">
        <v>0</v>
      </c>
    </row>
    <row r="14" spans="1:16">
      <c r="A14" t="s">
        <v>42</v>
      </c>
      <c r="B14" t="s">
        <v>45</v>
      </c>
      <c r="C14" s="9">
        <f>VLOOKUP(B14,[1]!Consulta1[#All],2,FALSE)</f>
        <v>529</v>
      </c>
      <c r="E14">
        <v>230</v>
      </c>
      <c r="F14">
        <v>2.2999999999999998</v>
      </c>
      <c r="G14">
        <v>2.2999999999999998</v>
      </c>
      <c r="H14">
        <v>2.2999999999999998</v>
      </c>
      <c r="I14">
        <v>1.95</v>
      </c>
      <c r="J14">
        <v>1.75</v>
      </c>
      <c r="K14">
        <v>1.7</v>
      </c>
      <c r="M14" s="9">
        <f>VLOOKUP(A14,[1]!Consulta1[#All],2,FALSE)</f>
        <v>114</v>
      </c>
      <c r="O14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('114','529','8265','8296','4','230','2.3','&lt;p&gt;EGP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accepted&lt;/p&gt;',1,1,3,'2.3','2.3','1.95','1.75','1.7','2025-04-30',now(),now(),2,'0','1');</v>
      </c>
      <c r="P14" s="9">
        <v>0</v>
      </c>
    </row>
    <row r="15" spans="1:16">
      <c r="A15" t="s">
        <v>42</v>
      </c>
      <c r="B15" t="s">
        <v>46</v>
      </c>
      <c r="C15" s="9">
        <f>VLOOKUP(B15,[1]!Consulta1[#All],2,FALSE)</f>
        <v>49782</v>
      </c>
      <c r="E15">
        <v>230</v>
      </c>
      <c r="F15">
        <v>2.2999999999999998</v>
      </c>
      <c r="G15">
        <v>2.2999999999999998</v>
      </c>
      <c r="H15">
        <v>2.2999999999999998</v>
      </c>
      <c r="I15">
        <v>1.95</v>
      </c>
      <c r="J15">
        <v>1.75</v>
      </c>
      <c r="K15">
        <v>1.7</v>
      </c>
      <c r="M15" s="9">
        <f>VLOOKUP(A15,[1]!Consulta1[#All],2,FALSE)</f>
        <v>114</v>
      </c>
      <c r="O15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('114','49782','8265','8296','4','230','2.3','&lt;p&gt;EGP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accepted&lt;/p&gt;',1,1,3,'2.3','2.3','1.95','1.75','1.7','2025-04-30',now(),now(),2,'0','1');</v>
      </c>
      <c r="P15" s="9">
        <v>0</v>
      </c>
    </row>
    <row r="16" spans="1:16">
      <c r="A16" t="s">
        <v>41</v>
      </c>
      <c r="B16" t="s">
        <v>22</v>
      </c>
      <c r="C16" s="9">
        <f>VLOOKUP(B16,[1]!Consulta1[#All],2,FALSE)</f>
        <v>50824</v>
      </c>
      <c r="E16">
        <v>230</v>
      </c>
      <c r="F16">
        <v>2.2999999999999998</v>
      </c>
      <c r="G16">
        <v>2.2999999999999998</v>
      </c>
      <c r="H16">
        <v>2.2999999999999998</v>
      </c>
      <c r="I16">
        <v>1.8</v>
      </c>
      <c r="J16">
        <v>1.7</v>
      </c>
      <c r="K16">
        <v>1.6</v>
      </c>
      <c r="M16" s="9">
        <f>VLOOKUP(A16,[1]!Consulta1[#All],2,FALSE)</f>
        <v>38</v>
      </c>
      <c r="O16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('38','50824','8265','8296','4','230','2.3','&lt;p&gt;EGP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accepted&lt;/p&gt;',1,1,3,'2.3','2.3','1.8','1.7','1.6','2025-04-30',now(),now(),2,'0','1');</v>
      </c>
      <c r="P16" s="9">
        <v>0</v>
      </c>
    </row>
    <row r="17" spans="1:16">
      <c r="A17" t="s">
        <v>42</v>
      </c>
      <c r="B17" t="s">
        <v>22</v>
      </c>
      <c r="C17" s="9">
        <f>VLOOKUP(B17,[1]!Consulta1[#All],2,FALSE)</f>
        <v>50824</v>
      </c>
      <c r="E17">
        <v>230</v>
      </c>
      <c r="F17">
        <v>2.2999999999999998</v>
      </c>
      <c r="G17">
        <v>2.2999999999999998</v>
      </c>
      <c r="H17">
        <v>2.2999999999999998</v>
      </c>
      <c r="I17">
        <v>1.8</v>
      </c>
      <c r="J17">
        <v>1.7</v>
      </c>
      <c r="K17">
        <v>1.6</v>
      </c>
      <c r="M17" s="9">
        <f>VLOOKUP(A17,[1]!Consulta1[#All],2,FALSE)</f>
        <v>114</v>
      </c>
      <c r="O17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('114','50824','8265','8296','4','230','2.3','&lt;p&gt;EGP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accepted&lt;/p&gt;',1,1,3,'2.3','2.3','1.8','1.7','1.6','2025-04-30',now(),now(),2,'0','1');</v>
      </c>
      <c r="P17" s="9">
        <v>0</v>
      </c>
    </row>
    <row r="18" spans="1:16">
      <c r="A18" t="s">
        <v>41</v>
      </c>
      <c r="B18" t="s">
        <v>23</v>
      </c>
      <c r="C18" s="9">
        <f>VLOOKUP(B18,[1]!Consulta1[#All],2,FALSE)</f>
        <v>50852</v>
      </c>
      <c r="E18">
        <v>240</v>
      </c>
      <c r="F18">
        <v>2.4</v>
      </c>
      <c r="G18">
        <v>2.4</v>
      </c>
      <c r="H18">
        <v>2.4</v>
      </c>
      <c r="I18">
        <v>1.7</v>
      </c>
      <c r="J18">
        <v>1.6</v>
      </c>
      <c r="K18">
        <v>1.55</v>
      </c>
      <c r="M18" s="9">
        <f>VLOOKUP(A18,[1]!Consulta1[#All],2,FALSE)</f>
        <v>38</v>
      </c>
      <c r="O18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('38','50852','8265','8296','4','240','2.4','&lt;p&gt;EGP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accepted&lt;/p&gt;',1,1,3,'2.4','2.4','1.7','1.6','1.55','2025-04-30',now(),now(),2,'0','1');</v>
      </c>
      <c r="P18" s="9">
        <v>0</v>
      </c>
    </row>
    <row r="19" spans="1:16">
      <c r="A19" t="s">
        <v>42</v>
      </c>
      <c r="B19" t="s">
        <v>23</v>
      </c>
      <c r="C19" s="9">
        <f>VLOOKUP(B19,[1]!Consulta1[#All],2,FALSE)</f>
        <v>50852</v>
      </c>
      <c r="E19">
        <v>240</v>
      </c>
      <c r="F19">
        <v>2.4</v>
      </c>
      <c r="G19">
        <v>2.4</v>
      </c>
      <c r="H19">
        <v>2.4</v>
      </c>
      <c r="I19">
        <v>1.7</v>
      </c>
      <c r="J19">
        <v>1.6</v>
      </c>
      <c r="K19">
        <v>1.55</v>
      </c>
      <c r="M19" s="9">
        <f>VLOOKUP(A19,[1]!Consulta1[#All],2,FALSE)</f>
        <v>114</v>
      </c>
      <c r="O19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('114','50852','8265','8296','4','240','2.4','&lt;p&gt;EGP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accepted&lt;/p&gt;',1,1,3,'2.4','2.4','1.7','1.6','1.55','2025-04-30',now(),now(),2,'0','1');</v>
      </c>
      <c r="P19" s="9">
        <v>0</v>
      </c>
    </row>
    <row r="20" spans="1:16">
      <c r="A20" t="s">
        <v>41</v>
      </c>
      <c r="B20" t="s">
        <v>24</v>
      </c>
      <c r="C20" s="9">
        <f>VLOOKUP(B20,[1]!Consulta1[#All],2,FALSE)</f>
        <v>49471</v>
      </c>
      <c r="E20">
        <v>240</v>
      </c>
      <c r="F20">
        <v>2.4</v>
      </c>
      <c r="G20">
        <v>2.4</v>
      </c>
      <c r="H20">
        <v>2.4</v>
      </c>
      <c r="I20">
        <v>1.7</v>
      </c>
      <c r="J20">
        <v>1.65</v>
      </c>
      <c r="K20">
        <v>1.6</v>
      </c>
      <c r="M20" s="9">
        <f>VLOOKUP(A20,[1]!Consulta1[#All],2,FALSE)</f>
        <v>38</v>
      </c>
      <c r="O20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('38','49471','8265','8296','4','240','2.4','&lt;p&gt;EGP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accepted&lt;/p&gt;',1,1,3,'2.4','2.4','1.7','1.65','1.6','2025-04-30',now(),now(),2,'0','1');</v>
      </c>
      <c r="P20" s="9">
        <v>0</v>
      </c>
    </row>
    <row r="21" spans="1:16">
      <c r="A21" t="s">
        <v>42</v>
      </c>
      <c r="B21" t="s">
        <v>24</v>
      </c>
      <c r="C21" s="9">
        <f>VLOOKUP(B21,[1]!Consulta1[#All],2,FALSE)</f>
        <v>49471</v>
      </c>
      <c r="E21">
        <v>240</v>
      </c>
      <c r="F21">
        <v>2.4</v>
      </c>
      <c r="G21">
        <v>2.4</v>
      </c>
      <c r="H21">
        <v>2.4</v>
      </c>
      <c r="I21">
        <v>1.7</v>
      </c>
      <c r="J21">
        <v>1.65</v>
      </c>
      <c r="K21">
        <v>1.6</v>
      </c>
      <c r="M21" s="9">
        <f>VLOOKUP(A21,[1]!Consulta1[#All],2,FALSE)</f>
        <v>114</v>
      </c>
      <c r="O21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('114','49471','8265','8296','4','240','2.4','&lt;p&gt;EGP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accepted&lt;/p&gt;',1,1,3,'2.4','2.4','1.7','1.65','1.6','2025-04-30',now(),now(),2,'0','1');</v>
      </c>
      <c r="P21" s="9">
        <v>0</v>
      </c>
    </row>
    <row r="22" spans="1:16">
      <c r="A22" t="s">
        <v>41</v>
      </c>
      <c r="B22" t="s">
        <v>25</v>
      </c>
      <c r="C22" s="9">
        <f>VLOOKUP(B22,[1]!Consulta1[#All],2,FALSE)</f>
        <v>50954</v>
      </c>
      <c r="E22">
        <v>230</v>
      </c>
      <c r="F22">
        <v>2.2999999999999998</v>
      </c>
      <c r="G22">
        <v>2.2999999999999998</v>
      </c>
      <c r="H22">
        <v>2.2999999999999998</v>
      </c>
      <c r="I22">
        <v>1.95</v>
      </c>
      <c r="J22">
        <v>1.75</v>
      </c>
      <c r="K22">
        <v>1.7</v>
      </c>
      <c r="M22" s="9">
        <f>VLOOKUP(A22,[1]!Consulta1[#All],2,FALSE)</f>
        <v>38</v>
      </c>
      <c r="O22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('38','50954','8265','8296','4','230','2.3','&lt;p&gt;EGP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accepted&lt;/p&gt;',1,1,3,'2.3','2.3','1.95','1.75','1.7','2025-04-30',now(),now(),2,'0','1');</v>
      </c>
      <c r="P22" s="9">
        <v>0</v>
      </c>
    </row>
    <row r="23" spans="1:16">
      <c r="A23" t="s">
        <v>42</v>
      </c>
      <c r="B23" t="s">
        <v>25</v>
      </c>
      <c r="C23" s="9">
        <f>VLOOKUP(B23,[1]!Consulta1[#All],2,FALSE)</f>
        <v>50954</v>
      </c>
      <c r="E23">
        <v>230</v>
      </c>
      <c r="F23">
        <v>2.2999999999999998</v>
      </c>
      <c r="G23">
        <v>2.2999999999999998</v>
      </c>
      <c r="H23">
        <v>2.2999999999999998</v>
      </c>
      <c r="I23">
        <v>1.95</v>
      </c>
      <c r="J23">
        <v>1.75</v>
      </c>
      <c r="K23">
        <v>1.7</v>
      </c>
      <c r="M23" s="9">
        <f>VLOOKUP(A23,[1]!Consulta1[#All],2,FALSE)</f>
        <v>114</v>
      </c>
      <c r="O23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('114','50954','8265','8296','4','230','2.3','&lt;p&gt;EGP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accepted&lt;/p&gt;',1,1,3,'2.3','2.3','1.95','1.75','1.7','2025-04-30',now(),now(),2,'0','1');</v>
      </c>
      <c r="P23" s="9">
        <v>0</v>
      </c>
    </row>
    <row r="24" spans="1:16">
      <c r="A24" t="s">
        <v>41</v>
      </c>
      <c r="B24" t="s">
        <v>47</v>
      </c>
      <c r="C24" s="9">
        <f>VLOOKUP(B24,[1]!Consulta1[#All],2,FALSE)</f>
        <v>50915</v>
      </c>
      <c r="E24">
        <v>230</v>
      </c>
      <c r="F24">
        <v>2.2999999999999998</v>
      </c>
      <c r="G24">
        <v>2.2999999999999998</v>
      </c>
      <c r="H24">
        <v>2.2999999999999998</v>
      </c>
      <c r="I24">
        <v>1.65</v>
      </c>
      <c r="J24">
        <v>1.55</v>
      </c>
      <c r="K24">
        <v>1.5</v>
      </c>
      <c r="M24" s="9">
        <f>VLOOKUP(A24,[1]!Consulta1[#All],2,FALSE)</f>
        <v>38</v>
      </c>
      <c r="O24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('38','50915','8265','8296','4','230','2.3','&lt;p&gt;EGP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accepted&lt;/p&gt;',1,1,3,'2.3','2.3','1.65','1.55','1.5','2025-04-30',now(),now(),2,'0','1');</v>
      </c>
      <c r="P24" s="9">
        <v>0</v>
      </c>
    </row>
    <row r="25" spans="1:16">
      <c r="A25" t="s">
        <v>41</v>
      </c>
      <c r="B25" t="s">
        <v>48</v>
      </c>
      <c r="C25" s="9">
        <f>VLOOKUP(B25,[1]!Consulta1[#All],2,FALSE)</f>
        <v>49717</v>
      </c>
      <c r="E25">
        <v>230</v>
      </c>
      <c r="F25">
        <v>2.2999999999999998</v>
      </c>
      <c r="G25">
        <v>2.2999999999999998</v>
      </c>
      <c r="H25">
        <v>2.2999999999999998</v>
      </c>
      <c r="I25">
        <v>1.65</v>
      </c>
      <c r="J25">
        <v>1.55</v>
      </c>
      <c r="K25">
        <v>1.5</v>
      </c>
      <c r="M25" s="9">
        <f>VLOOKUP(A25,[1]!Consulta1[#All],2,FALSE)</f>
        <v>38</v>
      </c>
      <c r="O25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('38','49717','8265','8296','4','230','2.3','&lt;p&gt;EGP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accepted&lt;/p&gt;',1,1,3,'2.3','2.3','1.65','1.55','1.5','2025-04-30',now(),now(),2,'0','1');</v>
      </c>
      <c r="P25" s="9">
        <v>0</v>
      </c>
    </row>
    <row r="26" spans="1:16">
      <c r="A26" t="s">
        <v>41</v>
      </c>
      <c r="B26" t="s">
        <v>49</v>
      </c>
      <c r="C26" s="9">
        <f>VLOOKUP(B26,[1]!Consulta1[#All],2,FALSE)</f>
        <v>39769</v>
      </c>
      <c r="E26">
        <v>230</v>
      </c>
      <c r="F26">
        <v>2.2999999999999998</v>
      </c>
      <c r="G26">
        <v>2.2999999999999998</v>
      </c>
      <c r="H26">
        <v>2.2999999999999998</v>
      </c>
      <c r="I26">
        <v>1.65</v>
      </c>
      <c r="J26">
        <v>1.55</v>
      </c>
      <c r="K26">
        <v>1.5</v>
      </c>
      <c r="M26" s="9">
        <f>VLOOKUP(A26,[1]!Consulta1[#All],2,FALSE)</f>
        <v>38</v>
      </c>
      <c r="O26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('38','39769','8265','8296','4','230','2.3','&lt;p&gt;EGP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accepted&lt;/p&gt;',1,1,3,'2.3','2.3','1.65','1.55','1.5','2025-04-30',now(),now(),2,'0','1');</v>
      </c>
      <c r="P26" s="9">
        <v>0</v>
      </c>
    </row>
    <row r="27" spans="1:16">
      <c r="A27" t="s">
        <v>42</v>
      </c>
      <c r="B27" t="s">
        <v>47</v>
      </c>
      <c r="C27" s="9">
        <f>VLOOKUP(B27,[1]!Consulta1[#All],2,FALSE)</f>
        <v>50915</v>
      </c>
      <c r="E27">
        <v>230</v>
      </c>
      <c r="F27">
        <v>2.2999999999999998</v>
      </c>
      <c r="G27">
        <v>2.2999999999999998</v>
      </c>
      <c r="H27">
        <v>2.2999999999999998</v>
      </c>
      <c r="I27">
        <v>1.65</v>
      </c>
      <c r="J27">
        <v>1.55</v>
      </c>
      <c r="K27">
        <v>1.5</v>
      </c>
      <c r="M27" s="9">
        <f>VLOOKUP(A27,[1]!Consulta1[#All],2,FALSE)</f>
        <v>114</v>
      </c>
      <c r="O27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('114','50915','8265','8296','4','230','2.3','&lt;p&gt;EGP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accepted&lt;/p&gt;',1,1,3,'2.3','2.3','1.65','1.55','1.5','2025-04-30',now(),now(),2,'0','1');</v>
      </c>
      <c r="P27" s="9">
        <v>0</v>
      </c>
    </row>
    <row r="28" spans="1:16">
      <c r="A28" t="s">
        <v>42</v>
      </c>
      <c r="B28" t="s">
        <v>48</v>
      </c>
      <c r="C28" s="9">
        <f>VLOOKUP(B28,[1]!Consulta1[#All],2,FALSE)</f>
        <v>49717</v>
      </c>
      <c r="E28">
        <v>230</v>
      </c>
      <c r="F28">
        <v>2.2999999999999998</v>
      </c>
      <c r="G28">
        <v>2.2999999999999998</v>
      </c>
      <c r="H28">
        <v>2.2999999999999998</v>
      </c>
      <c r="I28">
        <v>1.65</v>
      </c>
      <c r="J28">
        <v>1.55</v>
      </c>
      <c r="K28">
        <v>1.5</v>
      </c>
      <c r="M28" s="9">
        <f>VLOOKUP(A28,[1]!Consulta1[#All],2,FALSE)</f>
        <v>114</v>
      </c>
      <c r="O28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('114','49717','8265','8296','4','230','2.3','&lt;p&gt;EGP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accepted&lt;/p&gt;',1,1,3,'2.3','2.3','1.65','1.55','1.5','2025-04-30',now(),now(),2,'0','1');</v>
      </c>
      <c r="P28" s="9">
        <v>0</v>
      </c>
    </row>
    <row r="29" spans="1:16">
      <c r="A29" t="s">
        <v>42</v>
      </c>
      <c r="B29" t="s">
        <v>49</v>
      </c>
      <c r="C29" s="9">
        <f>VLOOKUP(B29,[1]!Consulta1[#All],2,FALSE)</f>
        <v>39769</v>
      </c>
      <c r="E29">
        <v>230</v>
      </c>
      <c r="F29">
        <v>2.2999999999999998</v>
      </c>
      <c r="G29">
        <v>2.2999999999999998</v>
      </c>
      <c r="H29">
        <v>2.2999999999999998</v>
      </c>
      <c r="I29">
        <v>1.65</v>
      </c>
      <c r="J29">
        <v>1.55</v>
      </c>
      <c r="K29">
        <v>1.5</v>
      </c>
      <c r="M29" s="9">
        <f>VLOOKUP(A29,[1]!Consulta1[#All],2,FALSE)</f>
        <v>114</v>
      </c>
      <c r="O29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('114','39769','8265','8296','4','230','2.3','&lt;p&gt;EGP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accepted&lt;/p&gt;',1,1,3,'2.3','2.3','1.65','1.55','1.5','2025-04-30',now(),now(),2,'0','1');</v>
      </c>
      <c r="P29" s="9">
        <v>0</v>
      </c>
    </row>
    <row r="30" spans="1:16">
      <c r="A30" t="s">
        <v>41</v>
      </c>
      <c r="B30" t="s">
        <v>26</v>
      </c>
      <c r="C30" s="9">
        <f>VLOOKUP(B30,[1]!Consulta1[#All],2,FALSE)</f>
        <v>50957</v>
      </c>
      <c r="E30">
        <v>320</v>
      </c>
      <c r="F30">
        <v>3.2</v>
      </c>
      <c r="G30">
        <v>3.2</v>
      </c>
      <c r="H30">
        <v>3.2</v>
      </c>
      <c r="I30">
        <v>2.8</v>
      </c>
      <c r="J30">
        <v>2.65</v>
      </c>
      <c r="K30">
        <v>2.5</v>
      </c>
      <c r="M30" s="9">
        <f>VLOOKUP(A30,[1]!Consulta1[#All],2,FALSE)</f>
        <v>38</v>
      </c>
      <c r="O30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('38','50957','8265','8296','4','320','3.2','&lt;p&gt;EGP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accepted&lt;/p&gt;',1,1,3,'3.2','3.2','2.8','2.65','2.5','2025-04-30',now(),now(),2,'0','1');</v>
      </c>
      <c r="P30" s="9">
        <v>0</v>
      </c>
    </row>
    <row r="31" spans="1:16">
      <c r="A31" t="s">
        <v>42</v>
      </c>
      <c r="B31" t="s">
        <v>26</v>
      </c>
      <c r="C31" s="9">
        <f>VLOOKUP(B31,[1]!Consulta1[#All],2,FALSE)</f>
        <v>50957</v>
      </c>
      <c r="E31">
        <v>320</v>
      </c>
      <c r="F31">
        <v>3.2</v>
      </c>
      <c r="G31">
        <v>3.2</v>
      </c>
      <c r="H31">
        <v>3.2</v>
      </c>
      <c r="I31">
        <v>2.8</v>
      </c>
      <c r="J31">
        <v>2.65</v>
      </c>
      <c r="K31">
        <v>2.5</v>
      </c>
      <c r="M31" s="9">
        <f>VLOOKUP(A31,[1]!Consulta1[#All],2,FALSE)</f>
        <v>114</v>
      </c>
      <c r="O31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('114','50957','8265','8296','4','320','3.2','&lt;p&gt;EGP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accepted&lt;/p&gt;',1,1,3,'3.2','3.2','2.8','2.65','2.5','2025-04-30',now(),now(),2,'0','1');</v>
      </c>
      <c r="P31" s="9">
        <v>0</v>
      </c>
    </row>
    <row r="32" spans="1:16">
      <c r="A32" t="s">
        <v>41</v>
      </c>
      <c r="B32" t="s">
        <v>27</v>
      </c>
      <c r="C32" s="9">
        <f>VLOOKUP(B32,[1]!Consulta1[#All],2,FALSE)</f>
        <v>51101</v>
      </c>
      <c r="E32">
        <v>400</v>
      </c>
      <c r="F32">
        <v>4</v>
      </c>
      <c r="G32">
        <v>4</v>
      </c>
      <c r="H32">
        <v>4</v>
      </c>
      <c r="I32">
        <v>3.6</v>
      </c>
      <c r="J32">
        <v>3.5</v>
      </c>
      <c r="K32">
        <v>3.4</v>
      </c>
      <c r="M32" s="9">
        <f>VLOOKUP(A32,[1]!Consulta1[#All],2,FALSE)</f>
        <v>38</v>
      </c>
      <c r="O32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('38','51101','8265','8296','4','400','4','&lt;p&gt;EGP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accepted&lt;/p&gt;',1,1,3,'4','4','3.6','3.5','3.4','2025-04-30',now(),now(),2,'0','1');</v>
      </c>
      <c r="P32" s="9">
        <v>0</v>
      </c>
    </row>
    <row r="33" spans="1:16">
      <c r="A33" t="s">
        <v>42</v>
      </c>
      <c r="B33" t="s">
        <v>27</v>
      </c>
      <c r="C33" s="9">
        <f>VLOOKUP(B33,[1]!Consulta1[#All],2,FALSE)</f>
        <v>51101</v>
      </c>
      <c r="E33">
        <v>400</v>
      </c>
      <c r="F33">
        <v>4</v>
      </c>
      <c r="G33">
        <v>4</v>
      </c>
      <c r="H33">
        <v>4</v>
      </c>
      <c r="I33">
        <v>3.6</v>
      </c>
      <c r="J33">
        <v>3.5</v>
      </c>
      <c r="K33">
        <v>3.4</v>
      </c>
      <c r="M33" s="9">
        <f>VLOOKUP(A33,[1]!Consulta1[#All],2,FALSE)</f>
        <v>114</v>
      </c>
      <c r="O33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('114','51101','8265','8296','4','400','4','&lt;p&gt;EGP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accepted&lt;/p&gt;',1,1,3,'4','4','3.6','3.5','3.4','2025-04-30',now(),now(),2,'0','1');</v>
      </c>
      <c r="P33" s="9">
        <v>0</v>
      </c>
    </row>
    <row r="34" spans="1:16">
      <c r="A34" t="s">
        <v>41</v>
      </c>
      <c r="B34" t="s">
        <v>28</v>
      </c>
      <c r="C34" s="9">
        <f>VLOOKUP(B34,[1]!Consulta1[#All],2,FALSE)</f>
        <v>39773</v>
      </c>
      <c r="E34">
        <v>240</v>
      </c>
      <c r="F34">
        <v>2.4</v>
      </c>
      <c r="G34">
        <v>2.4</v>
      </c>
      <c r="H34">
        <v>2.4</v>
      </c>
      <c r="I34">
        <v>2</v>
      </c>
      <c r="J34">
        <v>1.9</v>
      </c>
      <c r="K34">
        <v>1.7</v>
      </c>
      <c r="M34" s="9">
        <f>VLOOKUP(A34,[1]!Consulta1[#All],2,FALSE)</f>
        <v>38</v>
      </c>
      <c r="O34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('38','39773','8265','8296','4','240','2.4','&lt;p&gt;EGP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accepted&lt;/p&gt;',1,1,3,'2.4','2.4','2','1.9','1.7','2025-04-30',now(),now(),2,'0','1');</v>
      </c>
      <c r="P34" s="9">
        <v>0</v>
      </c>
    </row>
    <row r="35" spans="1:16">
      <c r="A35" t="s">
        <v>42</v>
      </c>
      <c r="B35" t="s">
        <v>28</v>
      </c>
      <c r="C35" s="9">
        <f>VLOOKUP(B35,[1]!Consulta1[#All],2,FALSE)</f>
        <v>39773</v>
      </c>
      <c r="E35">
        <v>240</v>
      </c>
      <c r="F35">
        <v>2.4</v>
      </c>
      <c r="G35">
        <v>2.4</v>
      </c>
      <c r="H35">
        <v>2.4</v>
      </c>
      <c r="I35">
        <v>2</v>
      </c>
      <c r="J35">
        <v>1.9</v>
      </c>
      <c r="K35">
        <v>1.7</v>
      </c>
      <c r="M35" s="9">
        <f>VLOOKUP(A35,[1]!Consulta1[#All],2,FALSE)</f>
        <v>114</v>
      </c>
      <c r="O35" s="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('114','39773','8265','8296','4','240','2.4','&lt;p&gt;EGP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accepted&lt;/p&gt;',1,1,3,'2.4','2.4','2','1.9','1.7','2025-04-30',now(),now(),2,'0','1');</v>
      </c>
      <c r="P35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6762-7381-4ADA-9B54-E45D44F64034}">
  <dimension ref="A1:I14"/>
  <sheetViews>
    <sheetView workbookViewId="0">
      <selection sqref="A1:I14"/>
    </sheetView>
  </sheetViews>
  <sheetFormatPr baseColWidth="10" defaultRowHeight="12.75"/>
  <cols>
    <col min="1" max="2" width="13" customWidth="1"/>
  </cols>
  <sheetData>
    <row r="1" spans="1:9">
      <c r="A1" t="s">
        <v>34</v>
      </c>
      <c r="B1" t="s">
        <v>35</v>
      </c>
      <c r="C1" t="s">
        <v>18</v>
      </c>
      <c r="D1" t="s">
        <v>33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 t="s">
        <v>29</v>
      </c>
      <c r="B2" t="s">
        <v>19</v>
      </c>
      <c r="C2">
        <v>240</v>
      </c>
      <c r="D2">
        <v>2.4</v>
      </c>
      <c r="E2">
        <v>2.4</v>
      </c>
      <c r="F2">
        <v>2.4</v>
      </c>
      <c r="G2">
        <v>2</v>
      </c>
      <c r="H2">
        <v>1.85</v>
      </c>
      <c r="I2">
        <v>1.75</v>
      </c>
    </row>
    <row r="3" spans="1:9">
      <c r="A3" t="s">
        <v>29</v>
      </c>
      <c r="B3" t="s">
        <v>20</v>
      </c>
      <c r="C3">
        <v>230</v>
      </c>
      <c r="D3">
        <v>2.2999999999999998</v>
      </c>
      <c r="E3">
        <v>2.2999999999999998</v>
      </c>
      <c r="F3">
        <v>2.2999999999999998</v>
      </c>
      <c r="G3">
        <v>1.7</v>
      </c>
      <c r="H3">
        <v>1.55</v>
      </c>
      <c r="I3">
        <v>1.5</v>
      </c>
    </row>
    <row r="4" spans="1:9">
      <c r="A4" t="s">
        <v>29</v>
      </c>
      <c r="B4" t="s">
        <v>30</v>
      </c>
      <c r="C4">
        <v>230</v>
      </c>
      <c r="D4">
        <v>2.2999999999999998</v>
      </c>
      <c r="E4">
        <v>2.2999999999999998</v>
      </c>
      <c r="F4">
        <v>2.2999999999999998</v>
      </c>
      <c r="G4">
        <v>2.1</v>
      </c>
      <c r="H4">
        <v>2</v>
      </c>
      <c r="I4">
        <v>1.85</v>
      </c>
    </row>
    <row r="5" spans="1:9">
      <c r="A5" t="s">
        <v>29</v>
      </c>
      <c r="B5" t="s">
        <v>21</v>
      </c>
      <c r="C5">
        <v>230</v>
      </c>
      <c r="D5">
        <v>2.2999999999999998</v>
      </c>
      <c r="E5">
        <v>2.2999999999999998</v>
      </c>
      <c r="F5">
        <v>2.2999999999999998</v>
      </c>
      <c r="G5">
        <v>1.95</v>
      </c>
      <c r="H5">
        <v>1.75</v>
      </c>
      <c r="I5">
        <v>1.7</v>
      </c>
    </row>
    <row r="6" spans="1:9">
      <c r="A6" t="s">
        <v>29</v>
      </c>
      <c r="B6" t="s">
        <v>31</v>
      </c>
      <c r="C6">
        <v>230</v>
      </c>
      <c r="D6">
        <v>2.2999999999999998</v>
      </c>
      <c r="E6">
        <v>2.2999999999999998</v>
      </c>
      <c r="F6">
        <v>2.2999999999999998</v>
      </c>
      <c r="G6">
        <v>1.95</v>
      </c>
      <c r="H6">
        <v>1.75</v>
      </c>
      <c r="I6">
        <v>1.7</v>
      </c>
    </row>
    <row r="7" spans="1:9">
      <c r="A7" t="s">
        <v>29</v>
      </c>
      <c r="B7" t="s">
        <v>22</v>
      </c>
      <c r="C7">
        <v>230</v>
      </c>
      <c r="D7">
        <v>2.2999999999999998</v>
      </c>
      <c r="E7">
        <v>2.2999999999999998</v>
      </c>
      <c r="F7">
        <v>2.2999999999999998</v>
      </c>
      <c r="G7">
        <v>1.8</v>
      </c>
      <c r="H7">
        <v>1.7</v>
      </c>
      <c r="I7">
        <v>1.6</v>
      </c>
    </row>
    <row r="8" spans="1:9">
      <c r="A8" t="s">
        <v>29</v>
      </c>
      <c r="B8" t="s">
        <v>23</v>
      </c>
      <c r="C8">
        <v>240</v>
      </c>
      <c r="D8">
        <v>2.4</v>
      </c>
      <c r="E8">
        <v>2.4</v>
      </c>
      <c r="F8">
        <v>2.4</v>
      </c>
      <c r="G8">
        <v>1.7</v>
      </c>
      <c r="H8">
        <v>1.6</v>
      </c>
      <c r="I8">
        <v>1.55</v>
      </c>
    </row>
    <row r="9" spans="1:9">
      <c r="A9" t="s">
        <v>29</v>
      </c>
      <c r="B9" t="s">
        <v>24</v>
      </c>
      <c r="C9">
        <v>240</v>
      </c>
      <c r="D9">
        <v>2.4</v>
      </c>
      <c r="E9">
        <v>2.4</v>
      </c>
      <c r="F9">
        <v>2.4</v>
      </c>
      <c r="G9">
        <v>1.7</v>
      </c>
      <c r="H9">
        <v>1.65</v>
      </c>
      <c r="I9">
        <v>1.6</v>
      </c>
    </row>
    <row r="10" spans="1:9">
      <c r="A10" t="s">
        <v>29</v>
      </c>
      <c r="B10" t="s">
        <v>25</v>
      </c>
      <c r="C10">
        <v>230</v>
      </c>
      <c r="D10">
        <v>2.2999999999999998</v>
      </c>
      <c r="E10">
        <v>2.2999999999999998</v>
      </c>
      <c r="F10">
        <v>2.2999999999999998</v>
      </c>
      <c r="G10">
        <v>1.95</v>
      </c>
      <c r="H10">
        <v>1.75</v>
      </c>
      <c r="I10">
        <v>1.7</v>
      </c>
    </row>
    <row r="11" spans="1:9">
      <c r="A11" t="s">
        <v>29</v>
      </c>
      <c r="B11" t="s">
        <v>32</v>
      </c>
      <c r="C11">
        <v>230</v>
      </c>
      <c r="D11">
        <v>2.2999999999999998</v>
      </c>
      <c r="E11">
        <v>2.2999999999999998</v>
      </c>
      <c r="F11">
        <v>2.2999999999999998</v>
      </c>
      <c r="G11">
        <v>1.65</v>
      </c>
      <c r="H11">
        <v>1.55</v>
      </c>
      <c r="I11">
        <v>1.5</v>
      </c>
    </row>
    <row r="12" spans="1:9">
      <c r="A12" t="s">
        <v>29</v>
      </c>
      <c r="B12" t="s">
        <v>26</v>
      </c>
      <c r="C12">
        <v>320</v>
      </c>
      <c r="D12">
        <v>3.2</v>
      </c>
      <c r="E12">
        <v>3.2</v>
      </c>
      <c r="F12">
        <v>3.2</v>
      </c>
      <c r="G12">
        <v>2.8</v>
      </c>
      <c r="H12">
        <v>2.65</v>
      </c>
      <c r="I12">
        <v>2.5</v>
      </c>
    </row>
    <row r="13" spans="1:9">
      <c r="A13" t="s">
        <v>29</v>
      </c>
      <c r="B13" t="s">
        <v>27</v>
      </c>
      <c r="C13">
        <v>400</v>
      </c>
      <c r="D13">
        <v>4</v>
      </c>
      <c r="E13">
        <v>4</v>
      </c>
      <c r="F13">
        <v>4</v>
      </c>
      <c r="G13">
        <v>3.6</v>
      </c>
      <c r="H13">
        <v>3.5</v>
      </c>
      <c r="I13">
        <v>3.4</v>
      </c>
    </row>
    <row r="14" spans="1:9">
      <c r="A14" t="s">
        <v>29</v>
      </c>
      <c r="B14" t="s">
        <v>28</v>
      </c>
      <c r="C14">
        <v>240</v>
      </c>
      <c r="D14">
        <v>2.4</v>
      </c>
      <c r="E14">
        <v>2.4</v>
      </c>
      <c r="F14">
        <v>2.4</v>
      </c>
      <c r="G14">
        <v>2</v>
      </c>
      <c r="H14">
        <v>1.9</v>
      </c>
      <c r="I14">
        <v>1.7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33203125" defaultRowHeight="12.75"/>
  <cols>
    <col min="1" max="1" width="131.83203125" customWidth="1"/>
  </cols>
  <sheetData>
    <row r="1" spans="1:1" ht="203.85" customHeight="1">
      <c r="A1" s="7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33203125" defaultRowHeight="12.75"/>
  <cols>
    <col min="1" max="1" width="131.83203125" customWidth="1"/>
  </cols>
  <sheetData>
    <row r="1" spans="1:1" ht="105" customHeight="1">
      <c r="A1" s="1" t="s">
        <v>17</v>
      </c>
    </row>
    <row r="2" spans="1:1" ht="53.1" customHeight="1"/>
    <row r="3" spans="1:1" ht="99" customHeight="1"/>
  </sheetData>
  <hyperlinks>
    <hyperlink ref="A1" r:id="rId1" display="mailto:breyburne@atc-aviationusa.com" xr:uid="{00000000-0004-0000-0300-000000000000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EDE3C-6275-4226-84C9-01E1459E55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Tabla1</vt:lpstr>
      <vt:lpstr>Hoja2</vt:lpstr>
      <vt:lpstr>Hoja1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Pfeil</dc:creator>
  <cp:lastModifiedBy>anthony.ram7r3z@gmail.com</cp:lastModifiedBy>
  <dcterms:created xsi:type="dcterms:W3CDTF">2025-04-03T22:10:39Z</dcterms:created>
  <dcterms:modified xsi:type="dcterms:W3CDTF">2025-04-03T22:15:01Z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2025-03-25T00:00:00Z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2025-04-03T00:00:00Z</vt:filetime>
  </property>
  <property fmtid="{D5CDD505-2E9C-101B-9397-08002B2CF9AE}" pid="5" name="Producer">
    <vt:lpwstr>Microsoft® Word for Microsoft 365</vt:lpwstr>
  </property>
</Properties>
</file>