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xt\tariff\air\EGYPTAIR\"/>
    </mc:Choice>
  </mc:AlternateContent>
  <xr:revisionPtr revIDLastSave="0" documentId="8_{CDE3DCDC-3CBF-4BAE-8625-F5699F29F3A1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Table 1" sheetId="1" r:id="rId1"/>
    <sheet name="Table 2" sheetId="2" r:id="rId2"/>
    <sheet name="Tabla1" sheetId="5" r:id="rId3"/>
    <sheet name="Hoja2" sheetId="6" r:id="rId4"/>
    <sheet name="Hoja1" sheetId="4" r:id="rId5"/>
    <sheet name="Table 3" sheetId="3" r:id="rId6"/>
  </sheets>
  <externalReferences>
    <externalReference r:id="rId7"/>
  </externalReferences>
  <definedNames>
    <definedName name="DatosExternos_1" localSheetId="2" hidden="1">Tabla1!$A$1:$I$19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6" l="1"/>
  <c r="O3" i="6"/>
  <c r="O4" i="6"/>
  <c r="O5" i="6"/>
  <c r="O6" i="6"/>
  <c r="O8" i="6"/>
  <c r="O9" i="6"/>
  <c r="O10" i="6"/>
  <c r="O11" i="6"/>
  <c r="O12" i="6"/>
  <c r="O13" i="6"/>
  <c r="O14" i="6"/>
  <c r="O15" i="6"/>
  <c r="O16" i="6"/>
  <c r="O17" i="6"/>
  <c r="O18" i="6"/>
  <c r="O19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" i="6"/>
  <c r="O2" i="6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464C5-DFE1-4964-A2C5-5636BF06377C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<sst xmlns="http://schemas.openxmlformats.org/spreadsheetml/2006/main" count="148" uniqueCount="55">
  <si>
    <r>
      <rPr>
        <b/>
        <sz val="20"/>
        <color rgb="FF2E5395"/>
        <rFont val="Calibri"/>
        <family val="1"/>
      </rPr>
      <t xml:space="preserve">Promo Pricing!
</t>
    </r>
    <r>
      <rPr>
        <b/>
        <sz val="20"/>
        <color rgb="FF2E5395"/>
        <rFont val="Calibri"/>
        <family val="1"/>
      </rPr>
      <t xml:space="preserve">From Detroit to CAI and the Middle East
</t>
    </r>
    <r>
      <rPr>
        <sz val="20"/>
        <color rgb="FF2E5395"/>
        <rFont val="Calibri"/>
        <family val="1"/>
      </rPr>
      <t xml:space="preserve">Validity from </t>
    </r>
    <r>
      <rPr>
        <b/>
        <sz val="20"/>
        <color rgb="FF2E5395"/>
        <rFont val="Calibri"/>
        <family val="1"/>
      </rPr>
      <t xml:space="preserve">25NOV24 –31DEC24
</t>
    </r>
    <r>
      <rPr>
        <b/>
        <sz val="20"/>
        <rFont val="Calibri"/>
        <family val="1"/>
      </rPr>
      <t xml:space="preserve">Must obtain Spot Rate Code at time of booking or you will be
</t>
    </r>
    <r>
      <rPr>
        <b/>
        <sz val="20"/>
        <rFont val="Calibri"/>
        <family val="1"/>
      </rPr>
      <t>charged the tariff rate.</t>
    </r>
  </si>
  <si>
    <r>
      <rPr>
        <b/>
        <sz val="11"/>
        <color rgb="FFFFFFFF"/>
        <rFont val="Times New Roman"/>
        <family val="1"/>
      </rPr>
      <t>DTW</t>
    </r>
  </si>
  <si>
    <r>
      <rPr>
        <b/>
        <sz val="11"/>
        <color rgb="FFFFFFFF"/>
        <rFont val="Times New Roman"/>
        <family val="1"/>
      </rPr>
      <t>MIN</t>
    </r>
  </si>
  <si>
    <r>
      <rPr>
        <sz val="11"/>
        <rFont val="Times New Roman"/>
        <family val="1"/>
      </rPr>
      <t>CAI</t>
    </r>
  </si>
  <si>
    <r>
      <rPr>
        <sz val="11"/>
        <rFont val="Times New Roman"/>
        <family val="1"/>
      </rPr>
      <t>DXB</t>
    </r>
  </si>
  <si>
    <r>
      <rPr>
        <sz val="11"/>
        <rFont val="Times New Roman"/>
        <family val="1"/>
      </rPr>
      <t>SHJ DWC</t>
    </r>
  </si>
  <si>
    <r>
      <rPr>
        <sz val="11"/>
        <rFont val="Times New Roman"/>
        <family val="1"/>
      </rPr>
      <t>KWI</t>
    </r>
  </si>
  <si>
    <r>
      <rPr>
        <sz val="11"/>
        <rFont val="Times New Roman"/>
        <family val="1"/>
      </rPr>
      <t>RUH DMM</t>
    </r>
  </si>
  <si>
    <r>
      <rPr>
        <sz val="11"/>
        <rFont val="Times New Roman"/>
        <family val="1"/>
      </rPr>
      <t>IST</t>
    </r>
  </si>
  <si>
    <r>
      <rPr>
        <sz val="11"/>
        <rFont val="Times New Roman"/>
        <family val="1"/>
      </rPr>
      <t>DEL CGK</t>
    </r>
  </si>
  <si>
    <r>
      <rPr>
        <sz val="11"/>
        <rFont val="Times New Roman"/>
        <family val="1"/>
      </rPr>
      <t>BOM</t>
    </r>
  </si>
  <si>
    <r>
      <rPr>
        <sz val="11"/>
        <rFont val="Times New Roman"/>
        <family val="1"/>
      </rPr>
      <t>JED</t>
    </r>
  </si>
  <si>
    <r>
      <rPr>
        <sz val="11"/>
        <rFont val="Times New Roman"/>
        <family val="1"/>
      </rPr>
      <t>CAN PVG PEK</t>
    </r>
  </si>
  <si>
    <r>
      <rPr>
        <sz val="11"/>
        <rFont val="Times New Roman"/>
        <family val="1"/>
      </rPr>
      <t>JNB</t>
    </r>
  </si>
  <si>
    <r>
      <rPr>
        <sz val="11"/>
        <rFont val="Times New Roman"/>
        <family val="1"/>
      </rPr>
      <t>LOS</t>
    </r>
  </si>
  <si>
    <r>
      <rPr>
        <sz val="11"/>
        <rFont val="Times New Roman"/>
        <family val="1"/>
      </rPr>
      <t>HKG</t>
    </r>
  </si>
  <si>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Minimum must be reached before 100kg rate applies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Rates are ALL-IN (including Fuel &amp; Security) Excluding EDI charges &amp; transit Shipment fee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Transit Shipment Fee: $.05/kg with a $25.00 min (not applicable for Final destination CAI).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Minimum Shipment Size of 100kg must be shown on the AWB otherwise TACT rates apply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b/>
        <sz val="12"/>
        <color rgb="FF2E5395"/>
        <rFont val="Calibri"/>
        <family val="1"/>
      </rPr>
      <t xml:space="preserve">Known Shipper, Lower Deck, General Cargo only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sz val="12"/>
        <color rgb="FF2E5395"/>
        <rFont val="Calibri"/>
        <family val="1"/>
      </rPr>
      <t xml:space="preserve">Loose rates based on average density of 1:9 (DG6 IATA)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sz val="12"/>
        <color rgb="FF2E5395"/>
        <rFont val="Calibri"/>
        <family val="1"/>
      </rPr>
      <t xml:space="preserve">Not valid for Special Cargo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sz val="12"/>
        <color rgb="FF2E5395"/>
        <rFont val="Calibri"/>
        <family val="1"/>
      </rPr>
      <t xml:space="preserve">Excludes Oversized Cargo (shipments containing pieces whose length exceeds 125 inches or width exceeds 96 inches)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sz val="12"/>
        <color rgb="FF2E5395"/>
        <rFont val="Calibri"/>
        <family val="1"/>
      </rPr>
      <t xml:space="preserve">AWB execution date, not flown date, determines the validity of this agreement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sz val="12"/>
        <color rgb="FF2E5395"/>
        <rFont val="Calibri"/>
        <family val="1"/>
      </rPr>
      <t xml:space="preserve">Rates are subject to capacity availability and rates are subject to change
</t>
    </r>
    <r>
      <rPr>
        <sz val="12"/>
        <color rgb="FF2E5395"/>
        <rFont val="Symbol"/>
        <family val="5"/>
      </rPr>
      <t></t>
    </r>
    <r>
      <rPr>
        <sz val="12"/>
        <color rgb="FF2E5395"/>
        <rFont val="Times New Roman"/>
        <family val="1"/>
      </rPr>
      <t xml:space="preserve">    </t>
    </r>
    <r>
      <rPr>
        <sz val="12"/>
        <color rgb="FF2E5395"/>
        <rFont val="Calibri"/>
        <family val="1"/>
      </rPr>
      <t xml:space="preserve">“As Agreed” mawbs are not accepted
</t>
    </r>
    <r>
      <rPr>
        <sz val="14"/>
        <rFont val="Calibri"/>
        <family val="1"/>
      </rPr>
      <t xml:space="preserve">Customer Service </t>
    </r>
    <r>
      <rPr>
        <u/>
        <sz val="14"/>
        <color rgb="FF0462C1"/>
        <rFont val="Calibri"/>
        <family val="1"/>
      </rPr>
      <t xml:space="preserve">bookings@atc-aviationusa.com
</t>
    </r>
    <r>
      <rPr>
        <sz val="14"/>
        <rFont val="Calibri"/>
        <family val="1"/>
      </rPr>
      <t xml:space="preserve">Tel 281-869-8021, Ext #1
</t>
    </r>
    <r>
      <rPr>
        <sz val="14"/>
        <rFont val="Calibri"/>
        <family val="1"/>
      </rPr>
      <t xml:space="preserve">Robert Diaz Tel : 646-595-7556
</t>
    </r>
    <r>
      <rPr>
        <u/>
        <sz val="14"/>
        <color rgb="FF0462C1"/>
        <rFont val="Calibri"/>
        <family val="1"/>
      </rPr>
      <t>rdiaz@atc-aviationusa.com</t>
    </r>
  </si>
  <si>
    <t>DTW</t>
  </si>
  <si>
    <t>CAI</t>
  </si>
  <si>
    <t>DXB</t>
  </si>
  <si>
    <t>KWI</t>
  </si>
  <si>
    <t>IST</t>
  </si>
  <si>
    <t>BOM</t>
  </si>
  <si>
    <t>JED</t>
  </si>
  <si>
    <t>JNB</t>
  </si>
  <si>
    <t>LOS</t>
  </si>
  <si>
    <t>HKG</t>
  </si>
  <si>
    <t>MIN</t>
  </si>
  <si>
    <t>n</t>
  </si>
  <si>
    <t>SHJ/DWC</t>
  </si>
  <si>
    <t>RUH/DMM</t>
  </si>
  <si>
    <t>DEL/CGK</t>
  </si>
  <si>
    <t>CAN/PVG/PEK</t>
  </si>
  <si>
    <t>aol</t>
  </si>
  <si>
    <t>destin</t>
  </si>
  <si>
    <t>45</t>
  </si>
  <si>
    <t>100</t>
  </si>
  <si>
    <t>250</t>
  </si>
  <si>
    <t>500</t>
  </si>
  <si>
    <t>1000</t>
  </si>
  <si>
    <t>SHJ</t>
  </si>
  <si>
    <t>DWC</t>
  </si>
  <si>
    <t>RUH</t>
  </si>
  <si>
    <t>DMM</t>
  </si>
  <si>
    <t>DEL</t>
  </si>
  <si>
    <t>CGK</t>
  </si>
  <si>
    <t>CAN</t>
  </si>
  <si>
    <t>PVG</t>
  </si>
  <si>
    <t>PEK</t>
  </si>
  <si>
    <t>comment</t>
  </si>
  <si>
    <t>origin_id</t>
  </si>
  <si>
    <t>commodity_id</t>
  </si>
  <si>
    <t>insert</t>
  </si>
  <si>
    <t>cost</t>
  </si>
  <si>
    <t>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</si>
</sst>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;\-0"/>
    <numFmt numFmtId="165" formatCode="\$\ 0.00"/>
    <numFmt numFmtId="166" formatCode="\$0.00"/>
  </numFmts>
  <fonts count="16">
    <font>
      <sz val="10"/>
      <color rgb="FF000000"/>
      <name val="Times New Roman"/>
      <charset val="204"/>
    </font>
    <font>
      <b/>
      <sz val="11"/>
      <name val="Times New Roman"/>
    </font>
    <font>
      <b/>
      <sz val="11"/>
      <color rgb="FFFFFFFF"/>
      <name val="Times New Roman"/>
      <family val="2"/>
    </font>
    <font>
      <sz val="11"/>
      <name val="Times New Roman"/>
    </font>
    <font>
      <sz val="11"/>
      <color rgb="FF000000"/>
      <name val="Arial MT"/>
      <family val="2"/>
    </font>
    <font>
      <b/>
      <sz val="20"/>
      <color rgb="FF2E5395"/>
      <name val="Calibri"/>
      <family val="1"/>
    </font>
    <font>
      <sz val="20"/>
      <color rgb="FF2E5395"/>
      <name val="Calibri"/>
      <family val="1"/>
    </font>
    <font>
      <b/>
      <sz val="20"/>
      <name val="Calibri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2"/>
      <color rgb="FF2E5395"/>
      <name val="Symbol"/>
      <family val="5"/>
    </font>
    <font>
      <sz val="12"/>
      <color rgb="FF2E5395"/>
      <name val="Times New Roman"/>
      <family val="1"/>
    </font>
    <font>
      <b/>
      <sz val="12"/>
      <color rgb="FF2E5395"/>
      <name val="Calibri"/>
      <family val="1"/>
    </font>
    <font>
      <sz val="12"/>
      <color rgb="FF2E5395"/>
      <name val="Calibri"/>
      <family val="1"/>
    </font>
    <font>
      <sz val="14"/>
      <name val="Calibri"/>
      <family val="1"/>
    </font>
    <font>
      <u/>
      <sz val="14"/>
      <color rgb="FF0462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 shrinkToFit="1"/>
    </xf>
    <xf numFmtId="164" fontId="2" fillId="2" borderId="1" xfId="0" applyNumberFormat="1" applyFont="1" applyFill="1" applyBorder="1" applyAlignment="1">
      <alignment horizontal="left" vertical="top" indent="3" shrinkToFit="1"/>
    </xf>
    <xf numFmtId="164" fontId="2" fillId="2" borderId="1" xfId="0" applyNumberFormat="1" applyFont="1" applyFill="1" applyBorder="1" applyAlignment="1">
      <alignment horizontal="right" vertical="top" indent="1" shrinkToFit="1"/>
    </xf>
    <xf numFmtId="0" fontId="3" fillId="0" borderId="1" xfId="0" applyFont="1" applyFill="1" applyBorder="1" applyAlignment="1">
      <alignment horizontal="center" vertical="top" wrapText="1"/>
    </xf>
    <xf numFmtId="165" fontId="4" fillId="0" borderId="1" xfId="0" applyNumberFormat="1" applyFont="1" applyFill="1" applyBorder="1" applyAlignment="1">
      <alignment horizontal="center" vertical="top" shrinkToFit="1"/>
    </xf>
    <xf numFmtId="166" fontId="4" fillId="0" borderId="1" xfId="0" applyNumberFormat="1" applyFont="1" applyFill="1" applyBorder="1" applyAlignment="1">
      <alignment horizontal="center" vertical="top" shrinkToFit="1"/>
    </xf>
    <xf numFmtId="166" fontId="4" fillId="0" borderId="1" xfId="0" applyNumberFormat="1" applyFont="1" applyFill="1" applyBorder="1" applyAlignment="1">
      <alignment horizontal="left" vertical="top" indent="2" shrinkToFit="1"/>
    </xf>
    <xf numFmtId="166" fontId="4" fillId="0" borderId="1" xfId="0" applyNumberFormat="1" applyFont="1" applyFill="1" applyBorder="1" applyAlignment="1">
      <alignment horizontal="right" vertical="top" indent="2" shrinkToFit="1"/>
    </xf>
    <xf numFmtId="0" fontId="0" fillId="0" borderId="0" xfId="0" applyNumberFormat="1" applyFill="1" applyBorder="1" applyAlignment="1">
      <alignment horizontal="left" vertical="top"/>
    </xf>
    <xf numFmtId="0" fontId="0" fillId="0" borderId="0" xfId="0"/>
  </cellXfs>
  <cellStyles count="1">
    <cellStyle name="Normal" xfId="0" builtinId="0"/>
  </cellStyles>
  <dxfs count="2"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5321300</xdr:colOff>
      <xdr:row>0</xdr:row>
      <xdr:rowOff>0</xdr:rowOff>
    </xdr:from>
    <xdr:ext cx="1600200" cy="1066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0200" cy="1066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0</xdr:row>
      <xdr:rowOff>3478078</xdr:rowOff>
    </xdr:from>
    <xdr:ext cx="1662811" cy="66802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2811" cy="66802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xt\tariff\air\SWISS%20OHR%20(2).xlsx" TargetMode="External"/><Relationship Id="rId1" Type="http://schemas.openxmlformats.org/officeDocument/2006/relationships/externalLinkPath" Target="/next/tariff/air/SWISS%20OHR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ulta1"/>
      <sheetName val="Hoja1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384157A-91E2-4427-85E6-8176AE181ACE}" autoFormatId="16" applyNumberFormats="0" applyBorderFormats="0" applyFontFormats="0" applyPatternFormats="0" applyAlignmentFormats="0" applyWidthHeightFormats="0">
  <queryTableRefresh nextId="10">
    <queryTableFields count="9">
      <queryTableField id="1" name="aol" tableColumnId="1"/>
      <queryTableField id="2" name="destin" tableColumnId="2"/>
      <queryTableField id="3" name="MIN" tableColumnId="3"/>
      <queryTableField id="4" name="n" tableColumnId="4"/>
      <queryTableField id="5" name="45" tableColumnId="5"/>
      <queryTableField id="6" name="100" tableColumnId="6"/>
      <queryTableField id="7" name="250" tableColumnId="7"/>
      <queryTableField id="8" name="500" tableColumnId="8"/>
      <queryTableField id="9" name="100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555108-8534-4616-8BCD-D06814C878E0}" name="Tabla1_1" displayName="Tabla1_1" ref="A1:I19" tableType="queryTable" totalsRowShown="0">
  <autoFilter ref="A1:I19" xr:uid="{BB555108-8534-4616-8BCD-D06814C878E0}"/>
  <tableColumns count="9">
    <tableColumn id="1" xr3:uid="{DAF3C531-5B41-4EE0-8275-DA4FF34F20A2}" uniqueName="1" name="aol" queryTableFieldId="1" dataDxfId="1"/>
    <tableColumn id="2" xr3:uid="{F1F30B50-5FF9-441F-8B0D-30897C356225}" uniqueName="2" name="destin" queryTableFieldId="2" dataDxfId="0"/>
    <tableColumn id="3" xr3:uid="{905332E3-7332-4164-9669-CA5D21CD8033}" uniqueName="3" name="MIN" queryTableFieldId="3"/>
    <tableColumn id="4" xr3:uid="{2E1E1209-8E13-430B-A467-129A655FA5EB}" uniqueName="4" name="n" queryTableFieldId="4"/>
    <tableColumn id="5" xr3:uid="{4124419B-6EF0-48A3-A418-F3311698AF7E}" uniqueName="5" name="45" queryTableFieldId="5"/>
    <tableColumn id="6" xr3:uid="{FA8D5EB6-891E-4A3B-B8FC-02A16276A48D}" uniqueName="6" name="100" queryTableFieldId="6"/>
    <tableColumn id="7" xr3:uid="{603AA70D-0F32-4C81-8748-3F74D9FB0CD7}" uniqueName="7" name="250" queryTableFieldId="7"/>
    <tableColumn id="8" xr3:uid="{8AE53465-2227-43EE-B0F0-3400B23CF11A}" uniqueName="8" name="500" queryTableFieldId="8"/>
    <tableColumn id="9" xr3:uid="{DE6DBB41-3998-460F-B77E-00A29B2F6CB8}" uniqueName="9" name="1000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4DB8A-2725-430E-9F26-3333B360993F}" name="Tabla1" displayName="Tabla1" ref="A1:I14" totalsRowShown="0">
  <autoFilter ref="A1:I14" xr:uid="{9094DB8A-2725-430E-9F26-3333B360993F}"/>
  <tableColumns count="9">
    <tableColumn id="1" xr3:uid="{C15B5D05-E71B-4F74-AB33-9526DFC6F2AF}" name="aol"/>
    <tableColumn id="2" xr3:uid="{12EBBCD1-3932-46E3-840E-E78EF0AB36BF}" name="destin"/>
    <tableColumn id="3" xr3:uid="{7FA90E6E-70FD-43C6-91AD-9FD0FEEDCA8A}" name="MIN"/>
    <tableColumn id="4" xr3:uid="{411C4560-E68B-45EB-91C5-810EEB9AB082}" name="n"/>
    <tableColumn id="5" xr3:uid="{3343D91A-54F9-4FF1-AE82-C130392AAE4C}" name="45"/>
    <tableColumn id="6" xr3:uid="{E00EDFBC-8F35-49B4-882C-62C454D29D9B}" name="100"/>
    <tableColumn id="7" xr3:uid="{83798530-3686-4838-A51A-8DE03EA4354A}" name="250"/>
    <tableColumn id="8" xr3:uid="{5D71C020-5F82-4121-BA6A-C1CB5863BBB2}" name="500"/>
    <tableColumn id="9" xr3:uid="{399CC05F-1C3C-4540-BDB7-A910E028E020}" name="1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bookings@atc-aviation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31.5" customWidth="1"/>
  </cols>
  <sheetData>
    <row r="1" spans="1:1" ht="15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B1" sqref="B1:G14"/>
    </sheetView>
  </sheetViews>
  <sheetFormatPr baseColWidth="10" defaultColWidth="9.33203125" defaultRowHeight="12.75"/>
  <cols>
    <col min="1" max="1" width="43.83203125" customWidth="1"/>
    <col min="2" max="2" width="15.5" customWidth="1"/>
    <col min="3" max="3" width="15.33203125" customWidth="1"/>
    <col min="4" max="4" width="12.6640625" customWidth="1"/>
    <col min="5" max="5" width="15.33203125" customWidth="1"/>
    <col min="6" max="7" width="12.6640625" customWidth="1"/>
  </cols>
  <sheetData>
    <row r="1" spans="1:7" ht="25.7" customHeight="1">
      <c r="A1" s="2" t="s">
        <v>1</v>
      </c>
      <c r="B1" s="2" t="s">
        <v>2</v>
      </c>
      <c r="C1" s="3">
        <v>100</v>
      </c>
      <c r="D1" s="3">
        <v>250</v>
      </c>
      <c r="E1" s="4">
        <v>500</v>
      </c>
      <c r="F1" s="3">
        <v>1000</v>
      </c>
      <c r="G1" s="5">
        <v>3000</v>
      </c>
    </row>
    <row r="2" spans="1:7" ht="15.75" customHeight="1">
      <c r="A2" s="6" t="s">
        <v>3</v>
      </c>
      <c r="B2" s="7">
        <v>240</v>
      </c>
      <c r="C2" s="8">
        <v>2.4</v>
      </c>
      <c r="D2" s="8">
        <v>2</v>
      </c>
      <c r="E2" s="9">
        <v>1.85</v>
      </c>
      <c r="F2" s="8">
        <v>1.75</v>
      </c>
      <c r="G2" s="10">
        <v>1.7</v>
      </c>
    </row>
    <row r="3" spans="1:7" ht="15.75" customHeight="1">
      <c r="A3" s="6" t="s">
        <v>4</v>
      </c>
      <c r="B3" s="7">
        <v>230</v>
      </c>
      <c r="C3" s="8">
        <v>2.2999999999999998</v>
      </c>
      <c r="D3" s="8">
        <v>1.75</v>
      </c>
      <c r="E3" s="9">
        <v>1.6</v>
      </c>
      <c r="F3" s="8">
        <v>1.55</v>
      </c>
      <c r="G3" s="10">
        <v>1.55</v>
      </c>
    </row>
    <row r="4" spans="1:7" ht="15.75" customHeight="1">
      <c r="A4" s="6" t="s">
        <v>5</v>
      </c>
      <c r="B4" s="7">
        <v>230</v>
      </c>
      <c r="C4" s="8">
        <v>2.2999999999999998</v>
      </c>
      <c r="D4" s="8">
        <v>2.1</v>
      </c>
      <c r="E4" s="9">
        <v>2</v>
      </c>
      <c r="F4" s="8">
        <v>1.85</v>
      </c>
      <c r="G4" s="10">
        <v>1.85</v>
      </c>
    </row>
    <row r="5" spans="1:7" ht="15.75" customHeight="1">
      <c r="A5" s="6" t="s">
        <v>6</v>
      </c>
      <c r="B5" s="7">
        <v>230</v>
      </c>
      <c r="C5" s="8">
        <v>2.2999999999999998</v>
      </c>
      <c r="D5" s="8">
        <v>1.95</v>
      </c>
      <c r="E5" s="9">
        <v>1.75</v>
      </c>
      <c r="F5" s="8">
        <v>1.7</v>
      </c>
      <c r="G5" s="10">
        <v>1.7</v>
      </c>
    </row>
    <row r="6" spans="1:7" ht="15.75" customHeight="1">
      <c r="A6" s="6" t="s">
        <v>7</v>
      </c>
      <c r="B6" s="7">
        <v>230</v>
      </c>
      <c r="C6" s="8">
        <v>2.2999999999999998</v>
      </c>
      <c r="D6" s="8">
        <v>1.95</v>
      </c>
      <c r="E6" s="9">
        <v>1.75</v>
      </c>
      <c r="F6" s="8">
        <v>1.7</v>
      </c>
      <c r="G6" s="10">
        <v>1.7</v>
      </c>
    </row>
    <row r="7" spans="1:7" ht="15.75" customHeight="1">
      <c r="A7" s="6" t="s">
        <v>8</v>
      </c>
      <c r="B7" s="7">
        <v>230</v>
      </c>
      <c r="C7" s="8">
        <v>2.2999999999999998</v>
      </c>
      <c r="D7" s="8">
        <v>1.8</v>
      </c>
      <c r="E7" s="9">
        <v>1.7</v>
      </c>
      <c r="F7" s="8">
        <v>1.6</v>
      </c>
      <c r="G7" s="10">
        <v>1.6</v>
      </c>
    </row>
    <row r="8" spans="1:7" ht="15.75" customHeight="1">
      <c r="A8" s="6" t="s">
        <v>9</v>
      </c>
      <c r="B8" s="7">
        <v>240</v>
      </c>
      <c r="C8" s="8">
        <v>2.2999999999999998</v>
      </c>
      <c r="D8" s="8">
        <v>1.7</v>
      </c>
      <c r="E8" s="9">
        <v>1.6</v>
      </c>
      <c r="F8" s="8">
        <v>1.55</v>
      </c>
      <c r="G8" s="10">
        <v>1.55</v>
      </c>
    </row>
    <row r="9" spans="1:7" ht="15.75" customHeight="1">
      <c r="A9" s="6" t="s">
        <v>10</v>
      </c>
      <c r="B9" s="7">
        <v>240</v>
      </c>
      <c r="C9" s="8">
        <v>2.4</v>
      </c>
      <c r="D9" s="8">
        <v>1.7</v>
      </c>
      <c r="E9" s="9">
        <v>1.65</v>
      </c>
      <c r="F9" s="8">
        <v>1.6</v>
      </c>
      <c r="G9" s="10">
        <v>1.55</v>
      </c>
    </row>
    <row r="10" spans="1:7" ht="15.75" customHeight="1">
      <c r="A10" s="6" t="s">
        <v>11</v>
      </c>
      <c r="B10" s="7">
        <v>230</v>
      </c>
      <c r="C10" s="8">
        <v>2.2999999999999998</v>
      </c>
      <c r="D10" s="8">
        <v>1.95</v>
      </c>
      <c r="E10" s="9">
        <v>1.75</v>
      </c>
      <c r="F10" s="8">
        <v>1.7</v>
      </c>
      <c r="G10" s="10">
        <v>1.7</v>
      </c>
    </row>
    <row r="11" spans="1:7" ht="15.75" customHeight="1">
      <c r="A11" s="6" t="s">
        <v>12</v>
      </c>
      <c r="B11" s="7">
        <v>230</v>
      </c>
      <c r="C11" s="8">
        <v>2.2999999999999998</v>
      </c>
      <c r="D11" s="8">
        <v>1.65</v>
      </c>
      <c r="E11" s="9">
        <v>1.55</v>
      </c>
      <c r="F11" s="8">
        <v>1.5</v>
      </c>
      <c r="G11" s="10">
        <v>1.5</v>
      </c>
    </row>
    <row r="12" spans="1:7" ht="15.75" customHeight="1">
      <c r="A12" s="6" t="s">
        <v>13</v>
      </c>
      <c r="B12" s="7">
        <v>320</v>
      </c>
      <c r="C12" s="8">
        <v>3.2</v>
      </c>
      <c r="D12" s="8">
        <v>2.9</v>
      </c>
      <c r="E12" s="9">
        <v>2.85</v>
      </c>
      <c r="F12" s="8">
        <v>2.6</v>
      </c>
      <c r="G12" s="10">
        <v>2.5499999999999998</v>
      </c>
    </row>
    <row r="13" spans="1:7" ht="15.75" customHeight="1">
      <c r="A13" s="6" t="s">
        <v>14</v>
      </c>
      <c r="B13" s="7">
        <v>400</v>
      </c>
      <c r="C13" s="8">
        <v>4</v>
      </c>
      <c r="D13" s="8">
        <v>3.6</v>
      </c>
      <c r="E13" s="9">
        <v>3.5</v>
      </c>
      <c r="F13" s="8">
        <v>3.4</v>
      </c>
      <c r="G13" s="10">
        <v>3.4</v>
      </c>
    </row>
    <row r="14" spans="1:7" ht="15.75" customHeight="1">
      <c r="A14" s="6" t="s">
        <v>15</v>
      </c>
      <c r="B14" s="7">
        <v>240</v>
      </c>
      <c r="C14" s="8">
        <v>2.4</v>
      </c>
      <c r="D14" s="8">
        <v>2</v>
      </c>
      <c r="E14" s="9">
        <v>1.9</v>
      </c>
      <c r="F14" s="8">
        <v>1.7</v>
      </c>
      <c r="G14" s="10">
        <v>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1529-CB3D-439C-8E48-3C3BA00C7454}">
  <dimension ref="A1:I19"/>
  <sheetViews>
    <sheetView workbookViewId="0">
      <selection activeCell="G63" sqref="G63"/>
    </sheetView>
  </sheetViews>
  <sheetFormatPr baseColWidth="10" defaultRowHeight="12.75"/>
  <cols>
    <col min="1" max="1" width="6.5" bestFit="1" customWidth="1"/>
    <col min="2" max="2" width="9.33203125" bestFit="1" customWidth="1"/>
    <col min="3" max="3" width="7.83203125" bestFit="1" customWidth="1"/>
    <col min="4" max="4" width="5" bestFit="1" customWidth="1"/>
    <col min="5" max="5" width="6.1640625" bestFit="1" customWidth="1"/>
    <col min="6" max="8" width="7.33203125" bestFit="1" customWidth="1"/>
    <col min="9" max="9" width="8.5" bestFit="1" customWidth="1"/>
  </cols>
  <sheetData>
    <row r="1" spans="1:9">
      <c r="A1" t="s">
        <v>33</v>
      </c>
      <c r="B1" t="s">
        <v>34</v>
      </c>
      <c r="C1" t="s">
        <v>27</v>
      </c>
      <c r="D1" t="s">
        <v>28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 s="11" t="s">
        <v>17</v>
      </c>
      <c r="B2" s="11" t="s">
        <v>18</v>
      </c>
      <c r="C2">
        <v>240</v>
      </c>
      <c r="D2">
        <v>2.4</v>
      </c>
      <c r="E2">
        <v>2.4</v>
      </c>
      <c r="F2">
        <v>2.4</v>
      </c>
      <c r="G2">
        <v>2</v>
      </c>
      <c r="H2">
        <v>1.85</v>
      </c>
      <c r="I2">
        <v>1.75</v>
      </c>
    </row>
    <row r="3" spans="1:9">
      <c r="A3" s="11" t="s">
        <v>17</v>
      </c>
      <c r="B3" s="11" t="s">
        <v>19</v>
      </c>
      <c r="C3">
        <v>230</v>
      </c>
      <c r="D3">
        <v>2.2999999999999998</v>
      </c>
      <c r="E3">
        <v>2.2999999999999998</v>
      </c>
      <c r="F3">
        <v>2.2999999999999998</v>
      </c>
      <c r="G3">
        <v>1.75</v>
      </c>
      <c r="H3">
        <v>1.6</v>
      </c>
      <c r="I3">
        <v>1.55</v>
      </c>
    </row>
    <row r="4" spans="1:9">
      <c r="A4" s="11" t="s">
        <v>17</v>
      </c>
      <c r="B4" s="11" t="s">
        <v>40</v>
      </c>
      <c r="C4">
        <v>230</v>
      </c>
      <c r="D4">
        <v>2.2999999999999998</v>
      </c>
      <c r="E4">
        <v>2.2999999999999998</v>
      </c>
      <c r="F4">
        <v>2.2999999999999998</v>
      </c>
      <c r="G4">
        <v>2.1</v>
      </c>
      <c r="H4">
        <v>2</v>
      </c>
      <c r="I4">
        <v>1.85</v>
      </c>
    </row>
    <row r="5" spans="1:9">
      <c r="A5" s="11" t="s">
        <v>17</v>
      </c>
      <c r="B5" s="11" t="s">
        <v>41</v>
      </c>
      <c r="C5">
        <v>230</v>
      </c>
      <c r="D5">
        <v>2.2999999999999998</v>
      </c>
      <c r="E5">
        <v>2.2999999999999998</v>
      </c>
      <c r="F5">
        <v>2.2999999999999998</v>
      </c>
      <c r="G5">
        <v>2.1</v>
      </c>
      <c r="H5">
        <v>2</v>
      </c>
      <c r="I5">
        <v>1.85</v>
      </c>
    </row>
    <row r="6" spans="1:9">
      <c r="A6" s="11" t="s">
        <v>17</v>
      </c>
      <c r="B6" s="11" t="s">
        <v>20</v>
      </c>
      <c r="C6">
        <v>230</v>
      </c>
      <c r="D6">
        <v>2.2999999999999998</v>
      </c>
      <c r="E6">
        <v>2.2999999999999998</v>
      </c>
      <c r="F6">
        <v>2.2999999999999998</v>
      </c>
      <c r="G6">
        <v>1.95</v>
      </c>
      <c r="H6">
        <v>1.75</v>
      </c>
      <c r="I6">
        <v>1.7</v>
      </c>
    </row>
    <row r="7" spans="1:9">
      <c r="A7" s="11" t="s">
        <v>17</v>
      </c>
      <c r="B7" s="11" t="s">
        <v>42</v>
      </c>
      <c r="C7">
        <v>230</v>
      </c>
      <c r="D7">
        <v>2.2999999999999998</v>
      </c>
      <c r="E7">
        <v>2.2999999999999998</v>
      </c>
      <c r="F7">
        <v>2.2999999999999998</v>
      </c>
      <c r="G7">
        <v>1.95</v>
      </c>
      <c r="H7">
        <v>1.75</v>
      </c>
      <c r="I7">
        <v>1.7</v>
      </c>
    </row>
    <row r="8" spans="1:9">
      <c r="A8" s="11" t="s">
        <v>17</v>
      </c>
      <c r="B8" s="11" t="s">
        <v>43</v>
      </c>
      <c r="C8">
        <v>230</v>
      </c>
      <c r="D8">
        <v>2.2999999999999998</v>
      </c>
      <c r="E8">
        <v>2.2999999999999998</v>
      </c>
      <c r="F8">
        <v>2.2999999999999998</v>
      </c>
      <c r="G8">
        <v>1.95</v>
      </c>
      <c r="H8">
        <v>1.75</v>
      </c>
      <c r="I8">
        <v>1.7</v>
      </c>
    </row>
    <row r="9" spans="1:9">
      <c r="A9" s="11" t="s">
        <v>17</v>
      </c>
      <c r="B9" s="11" t="s">
        <v>21</v>
      </c>
      <c r="C9">
        <v>230</v>
      </c>
      <c r="D9">
        <v>2.2999999999999998</v>
      </c>
      <c r="E9">
        <v>2.2999999999999998</v>
      </c>
      <c r="F9">
        <v>2.2999999999999998</v>
      </c>
      <c r="G9">
        <v>1.8</v>
      </c>
      <c r="H9">
        <v>1.7</v>
      </c>
      <c r="I9">
        <v>1.6</v>
      </c>
    </row>
    <row r="10" spans="1:9">
      <c r="A10" s="11" t="s">
        <v>17</v>
      </c>
      <c r="B10" s="11" t="s">
        <v>44</v>
      </c>
      <c r="C10">
        <v>240</v>
      </c>
      <c r="D10">
        <v>2.2999999999999998</v>
      </c>
      <c r="E10">
        <v>2.2999999999999998</v>
      </c>
      <c r="F10">
        <v>2.2999999999999998</v>
      </c>
      <c r="G10">
        <v>1.7</v>
      </c>
      <c r="H10">
        <v>1.6</v>
      </c>
      <c r="I10">
        <v>1.55</v>
      </c>
    </row>
    <row r="11" spans="1:9">
      <c r="A11" s="11" t="s">
        <v>17</v>
      </c>
      <c r="B11" s="11" t="s">
        <v>45</v>
      </c>
      <c r="C11">
        <v>240</v>
      </c>
      <c r="D11">
        <v>2.2999999999999998</v>
      </c>
      <c r="E11">
        <v>2.2999999999999998</v>
      </c>
      <c r="F11">
        <v>2.2999999999999998</v>
      </c>
      <c r="G11">
        <v>1.7</v>
      </c>
      <c r="H11">
        <v>1.6</v>
      </c>
      <c r="I11">
        <v>1.55</v>
      </c>
    </row>
    <row r="12" spans="1:9">
      <c r="A12" s="11" t="s">
        <v>17</v>
      </c>
      <c r="B12" s="11" t="s">
        <v>22</v>
      </c>
      <c r="C12">
        <v>240</v>
      </c>
      <c r="D12">
        <v>2.4</v>
      </c>
      <c r="E12">
        <v>2.4</v>
      </c>
      <c r="F12">
        <v>2.4</v>
      </c>
      <c r="G12">
        <v>1.7</v>
      </c>
      <c r="H12">
        <v>1.65</v>
      </c>
      <c r="I12">
        <v>1.6</v>
      </c>
    </row>
    <row r="13" spans="1:9">
      <c r="A13" s="11" t="s">
        <v>17</v>
      </c>
      <c r="B13" s="11" t="s">
        <v>23</v>
      </c>
      <c r="C13">
        <v>230</v>
      </c>
      <c r="D13">
        <v>2.2999999999999998</v>
      </c>
      <c r="E13">
        <v>2.2999999999999998</v>
      </c>
      <c r="F13">
        <v>2.2999999999999998</v>
      </c>
      <c r="G13">
        <v>1.95</v>
      </c>
      <c r="H13">
        <v>1.75</v>
      </c>
      <c r="I13">
        <v>1.7</v>
      </c>
    </row>
    <row r="14" spans="1:9">
      <c r="A14" s="11" t="s">
        <v>17</v>
      </c>
      <c r="B14" s="11" t="s">
        <v>46</v>
      </c>
      <c r="C14">
        <v>230</v>
      </c>
      <c r="D14">
        <v>2.2999999999999998</v>
      </c>
      <c r="E14">
        <v>2.2999999999999998</v>
      </c>
      <c r="F14">
        <v>2.2999999999999998</v>
      </c>
      <c r="G14">
        <v>1.65</v>
      </c>
      <c r="H14">
        <v>1.55</v>
      </c>
      <c r="I14">
        <v>1.5</v>
      </c>
    </row>
    <row r="15" spans="1:9">
      <c r="A15" s="11" t="s">
        <v>17</v>
      </c>
      <c r="B15" s="11" t="s">
        <v>47</v>
      </c>
      <c r="C15">
        <v>230</v>
      </c>
      <c r="D15">
        <v>2.2999999999999998</v>
      </c>
      <c r="E15">
        <v>2.2999999999999998</v>
      </c>
      <c r="F15">
        <v>2.2999999999999998</v>
      </c>
      <c r="G15">
        <v>1.65</v>
      </c>
      <c r="H15">
        <v>1.55</v>
      </c>
      <c r="I15">
        <v>1.5</v>
      </c>
    </row>
    <row r="16" spans="1:9">
      <c r="A16" s="11" t="s">
        <v>17</v>
      </c>
      <c r="B16" s="11" t="s">
        <v>48</v>
      </c>
      <c r="C16">
        <v>230</v>
      </c>
      <c r="D16">
        <v>2.2999999999999998</v>
      </c>
      <c r="E16">
        <v>2.2999999999999998</v>
      </c>
      <c r="F16">
        <v>2.2999999999999998</v>
      </c>
      <c r="G16">
        <v>1.65</v>
      </c>
      <c r="H16">
        <v>1.55</v>
      </c>
      <c r="I16">
        <v>1.5</v>
      </c>
    </row>
    <row r="17" spans="1:9">
      <c r="A17" s="11" t="s">
        <v>17</v>
      </c>
      <c r="B17" s="11" t="s">
        <v>24</v>
      </c>
      <c r="C17">
        <v>320</v>
      </c>
      <c r="D17">
        <v>3.2</v>
      </c>
      <c r="E17">
        <v>3.2</v>
      </c>
      <c r="F17">
        <v>3.2</v>
      </c>
      <c r="G17">
        <v>2.9</v>
      </c>
      <c r="H17">
        <v>2.85</v>
      </c>
      <c r="I17">
        <v>2.6</v>
      </c>
    </row>
    <row r="18" spans="1:9">
      <c r="A18" s="11" t="s">
        <v>17</v>
      </c>
      <c r="B18" s="11" t="s">
        <v>25</v>
      </c>
      <c r="C18">
        <v>400</v>
      </c>
      <c r="D18">
        <v>4</v>
      </c>
      <c r="E18">
        <v>4</v>
      </c>
      <c r="F18">
        <v>4</v>
      </c>
      <c r="G18">
        <v>3.6</v>
      </c>
      <c r="H18">
        <v>3.5</v>
      </c>
      <c r="I18">
        <v>3.4</v>
      </c>
    </row>
    <row r="19" spans="1:9">
      <c r="A19" s="11" t="s">
        <v>17</v>
      </c>
      <c r="B19" s="11" t="s">
        <v>26</v>
      </c>
      <c r="C19">
        <v>240</v>
      </c>
      <c r="D19">
        <v>2.4</v>
      </c>
      <c r="E19">
        <v>2.4</v>
      </c>
      <c r="F19">
        <v>2.4</v>
      </c>
      <c r="G19">
        <v>2</v>
      </c>
      <c r="H19">
        <v>1.9</v>
      </c>
      <c r="I19">
        <v>1.7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65E7-8669-4F87-9C9E-0037D33108EB}">
  <dimension ref="A1:P19"/>
  <sheetViews>
    <sheetView tabSelected="1" workbookViewId="0">
      <selection activeCell="O2" sqref="O2:O19"/>
    </sheetView>
  </sheetViews>
  <sheetFormatPr baseColWidth="10" defaultRowHeight="12.75"/>
  <sheetData>
    <row r="1" spans="1:16">
      <c r="A1" t="s">
        <v>33</v>
      </c>
      <c r="B1" t="s">
        <v>34</v>
      </c>
      <c r="E1" t="s">
        <v>27</v>
      </c>
      <c r="F1" t="s">
        <v>28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s="12" t="s">
        <v>49</v>
      </c>
      <c r="M1" s="12" t="s">
        <v>50</v>
      </c>
      <c r="N1" s="12" t="s">
        <v>51</v>
      </c>
      <c r="O1" s="12" t="s">
        <v>52</v>
      </c>
      <c r="P1" s="12" t="s">
        <v>53</v>
      </c>
    </row>
    <row r="2" spans="1:16">
      <c r="A2" t="s">
        <v>17</v>
      </c>
      <c r="B2" t="s">
        <v>18</v>
      </c>
      <c r="C2" s="12">
        <f>VLOOKUP(B2,[1]!Consulta1[#All],2,FALSE)</f>
        <v>50830</v>
      </c>
      <c r="E2">
        <v>240</v>
      </c>
      <c r="F2">
        <v>2.4</v>
      </c>
      <c r="G2">
        <v>2.4</v>
      </c>
      <c r="H2">
        <v>2.4</v>
      </c>
      <c r="I2">
        <v>2</v>
      </c>
      <c r="J2">
        <v>1.85</v>
      </c>
      <c r="K2">
        <v>1.75</v>
      </c>
      <c r="L2" s="12" t="s">
        <v>54</v>
      </c>
      <c r="M2" s="12">
        <f>VLOOKUP(A2,[1]!Consulta1[#All],2,FALSE)</f>
        <v>172</v>
      </c>
      <c r="N2" s="12">
        <v>4</v>
      </c>
      <c r="O2" s="12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('",M2,"','",C2,"','8265','8296','",$N$2,"','",E2,"','",F2,"','",$L$2,"',1,1,3,'",G2,"','",H2,"','",I2,"','",J2,"','",K2,"','2024-12-31',now(),now(),2,'",P2,"','1');")</f>
        <v>insert tariffs (origin_id,destin_id,provider_id,airline_id,comodity_id,min,n,comments,active,user_id,type_tariff,forty_five_more,hundred_more,three_hundred_more,five_hundred_more,thousand_more,f_end,created_at,updated_at,airchaft,cost, offer) values ('172','50830','8265','8296','4','240','2.4','&lt;p&gt;EGP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accepted&lt;/p&gt;',1,1,3,'2.4','2.4','2','1.85','1.75','2024-12-31',now(),now(),2,'0','1');</v>
      </c>
      <c r="P2" s="12">
        <v>0</v>
      </c>
    </row>
    <row r="3" spans="1:16">
      <c r="A3" t="s">
        <v>17</v>
      </c>
      <c r="B3" t="s">
        <v>19</v>
      </c>
      <c r="C3" s="12">
        <f>VLOOKUP(B3,[1]!Consulta1[#All],2,FALSE)</f>
        <v>39771</v>
      </c>
      <c r="E3">
        <v>230</v>
      </c>
      <c r="F3">
        <v>2.2999999999999998</v>
      </c>
      <c r="G3">
        <v>2.2999999999999998</v>
      </c>
      <c r="H3">
        <v>2.2999999999999998</v>
      </c>
      <c r="I3">
        <v>1.75</v>
      </c>
      <c r="J3">
        <v>1.6</v>
      </c>
      <c r="K3">
        <v>1.55</v>
      </c>
      <c r="M3" s="12">
        <f>VLOOKUP(A3,[1]!Consulta1[#All],2,FALSE)</f>
        <v>172</v>
      </c>
      <c r="O3" s="12" t="str">
        <f t="shared" ref="O3:O19" si="0">CONCATENATE("insert tariffs (origin_id,destin_id,provider_id,airline_id,comodity_id,min,n,comments,active,user_id,type_tariff,forty_five_more,hundred_more,three_hundred_more,five_hundred_more,thousand_more,f_end,created_at,updated_at,airchaft,cost, offer) values ('",M3,"','",C3,"','8265','8296','",$N$2,"','",E3,"','",F3,"','",$L$2,"',1,1,3,'",G3,"','",H3,"','",I3,"','",J3,"','",K3,"','2024-12-31',now(),now(),2,'",P3,"','1');")</f>
        <v>insert tariffs (origin_id,destin_id,provider_id,airline_id,comodity_id,min,n,comments,active,user_id,type_tariff,forty_five_more,hundred_more,three_hundred_more,five_hundred_more,thousand_more,f_end,created_at,updated_at,airchaft,cost, offer) values ('172','39771','8265','8296','4','230','2.3','&lt;p&gt;EGP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accepted&lt;/p&gt;',1,1,3,'2.3','2.3','1.75','1.6','1.55','2024-12-31',now(),now(),2,'0','1');</v>
      </c>
      <c r="P3" s="12">
        <v>0</v>
      </c>
    </row>
    <row r="4" spans="1:16">
      <c r="A4" t="s">
        <v>17</v>
      </c>
      <c r="B4" t="s">
        <v>40</v>
      </c>
      <c r="C4" s="12">
        <f>VLOOKUP(B4,[1]!Consulta1[#All],2,FALSE)</f>
        <v>51040</v>
      </c>
      <c r="E4">
        <v>230</v>
      </c>
      <c r="F4">
        <v>2.2999999999999998</v>
      </c>
      <c r="G4">
        <v>2.2999999999999998</v>
      </c>
      <c r="H4">
        <v>2.2999999999999998</v>
      </c>
      <c r="I4">
        <v>2.1</v>
      </c>
      <c r="J4">
        <v>2</v>
      </c>
      <c r="K4">
        <v>1.85</v>
      </c>
      <c r="M4" s="12">
        <f>VLOOKUP(A4,[1]!Consulta1[#All],2,FALSE)</f>
        <v>172</v>
      </c>
      <c r="O4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('172','51040','8265','8296','4','230','2.3','&lt;p&gt;EGP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accepted&lt;/p&gt;',1,1,3,'2.3','2.3','2.1','2','1.85','2024-12-31',now(),now(),2,'0','1');</v>
      </c>
      <c r="P4" s="12">
        <v>0</v>
      </c>
    </row>
    <row r="5" spans="1:16">
      <c r="A5" t="s">
        <v>17</v>
      </c>
      <c r="B5" t="s">
        <v>41</v>
      </c>
      <c r="C5" s="12">
        <f>VLOOKUP(B5,[1]!Consulta1[#All],2,FALSE)</f>
        <v>50045</v>
      </c>
      <c r="E5">
        <v>230</v>
      </c>
      <c r="F5">
        <v>2.2999999999999998</v>
      </c>
      <c r="G5">
        <v>2.2999999999999998</v>
      </c>
      <c r="H5">
        <v>2.2999999999999998</v>
      </c>
      <c r="I5">
        <v>2.1</v>
      </c>
      <c r="J5">
        <v>2</v>
      </c>
      <c r="K5">
        <v>1.85</v>
      </c>
      <c r="M5" s="12">
        <f>VLOOKUP(A5,[1]!Consulta1[#All],2,FALSE)</f>
        <v>172</v>
      </c>
      <c r="O5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('172','50045','8265','8296','4','230','2.3','&lt;p&gt;EGP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accepted&lt;/p&gt;',1,1,3,'2.3','2.3','2.1','2','1.85','2024-12-31',now(),now(),2,'0','1');</v>
      </c>
      <c r="P5" s="12">
        <v>0</v>
      </c>
    </row>
    <row r="6" spans="1:16">
      <c r="A6" t="s">
        <v>17</v>
      </c>
      <c r="B6" t="s">
        <v>20</v>
      </c>
      <c r="C6" s="12">
        <f>VLOOKUP(B6,[1]!Consulta1[#All],2,FALSE)</f>
        <v>51036</v>
      </c>
      <c r="E6">
        <v>230</v>
      </c>
      <c r="F6">
        <v>2.2999999999999998</v>
      </c>
      <c r="G6">
        <v>2.2999999999999998</v>
      </c>
      <c r="H6">
        <v>2.2999999999999998</v>
      </c>
      <c r="I6">
        <v>1.95</v>
      </c>
      <c r="J6">
        <v>1.75</v>
      </c>
      <c r="K6">
        <v>1.7</v>
      </c>
      <c r="M6" s="12">
        <f>VLOOKUP(A6,[1]!Consulta1[#All],2,FALSE)</f>
        <v>172</v>
      </c>
      <c r="O6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('172','51036','8265','8296','4','230','2.3','&lt;p&gt;EGP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accepted&lt;/p&gt;',1,1,3,'2.3','2.3','1.95','1.75','1.7','2024-12-31',now(),now(),2,'0','1');</v>
      </c>
      <c r="P6" s="12">
        <v>0</v>
      </c>
    </row>
    <row r="7" spans="1:16">
      <c r="A7" t="s">
        <v>17</v>
      </c>
      <c r="B7" t="s">
        <v>42</v>
      </c>
      <c r="C7" s="12">
        <f>VLOOKUP(B7,[1]!Consulta1[#All],2,FALSE)</f>
        <v>529</v>
      </c>
      <c r="E7">
        <v>230</v>
      </c>
      <c r="F7">
        <v>2.2999999999999998</v>
      </c>
      <c r="G7">
        <v>2.2999999999999998</v>
      </c>
      <c r="H7">
        <v>2.2999999999999998</v>
      </c>
      <c r="I7">
        <v>1.95</v>
      </c>
      <c r="J7">
        <v>1.75</v>
      </c>
      <c r="K7">
        <v>1.7</v>
      </c>
      <c r="M7" s="12">
        <f>VLOOKUP(A7,[1]!Consulta1[#All],2,FALSE)</f>
        <v>172</v>
      </c>
      <c r="O7" s="12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('",M7,"','",C7,"','8265','8296','",$N$2,"','",E7,"','",F7,"','",$L$2,"',1,1,3,'",G7,"','",H7,"','",I7,"','",J7,"','",K7,"','2024-12-31',now(),now(),2,'",P7,"','1');")</f>
        <v>insert tariffs (origin_id,destin_id,provider_id,airline_id,comodity_id,min,n,comments,active,user_id,type_tariff,forty_five_more,hundred_more,three_hundred_more,five_hundred_more,thousand_more,f_end,created_at,updated_at,airchaft,cost, offer) values ('172','529','8265','8296','4','230','2.3','&lt;p&gt;EGP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accepted&lt;/p&gt;',1,1,3,'2.3','2.3','1.95','1.75','1.7','2024-12-31',now(),now(),2,'0','1');</v>
      </c>
      <c r="P7" s="12">
        <v>0</v>
      </c>
    </row>
    <row r="8" spans="1:16">
      <c r="A8" t="s">
        <v>17</v>
      </c>
      <c r="B8" t="s">
        <v>43</v>
      </c>
      <c r="C8" s="12">
        <f>VLOOKUP(B8,[1]!Consulta1[#All],2,FALSE)</f>
        <v>49782</v>
      </c>
      <c r="E8">
        <v>230</v>
      </c>
      <c r="F8">
        <v>2.2999999999999998</v>
      </c>
      <c r="G8">
        <v>2.2999999999999998</v>
      </c>
      <c r="H8">
        <v>2.2999999999999998</v>
      </c>
      <c r="I8">
        <v>1.95</v>
      </c>
      <c r="J8">
        <v>1.75</v>
      </c>
      <c r="K8">
        <v>1.7</v>
      </c>
      <c r="M8" s="12">
        <f>VLOOKUP(A8,[1]!Consulta1[#All],2,FALSE)</f>
        <v>172</v>
      </c>
      <c r="O8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('172','49782','8265','8296','4','230','2.3','&lt;p&gt;EGP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accepted&lt;/p&gt;',1,1,3,'2.3','2.3','1.95','1.75','1.7','2024-12-31',now(),now(),2,'0','1');</v>
      </c>
      <c r="P8" s="12">
        <v>0</v>
      </c>
    </row>
    <row r="9" spans="1:16">
      <c r="A9" t="s">
        <v>17</v>
      </c>
      <c r="B9" t="s">
        <v>21</v>
      </c>
      <c r="C9" s="12">
        <f>VLOOKUP(B9,[1]!Consulta1[#All],2,FALSE)</f>
        <v>50824</v>
      </c>
      <c r="E9">
        <v>230</v>
      </c>
      <c r="F9">
        <v>2.2999999999999998</v>
      </c>
      <c r="G9">
        <v>2.2999999999999998</v>
      </c>
      <c r="H9">
        <v>2.2999999999999998</v>
      </c>
      <c r="I9">
        <v>1.8</v>
      </c>
      <c r="J9">
        <v>1.7</v>
      </c>
      <c r="K9">
        <v>1.6</v>
      </c>
      <c r="M9" s="12">
        <f>VLOOKUP(A9,[1]!Consulta1[#All],2,FALSE)</f>
        <v>172</v>
      </c>
      <c r="O9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('172','50824','8265','8296','4','230','2.3','&lt;p&gt;EGP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accepted&lt;/p&gt;',1,1,3,'2.3','2.3','1.8','1.7','1.6','2024-12-31',now(),now(),2,'0','1');</v>
      </c>
      <c r="P9" s="12">
        <v>0</v>
      </c>
    </row>
    <row r="10" spans="1:16">
      <c r="A10" t="s">
        <v>17</v>
      </c>
      <c r="B10" t="s">
        <v>44</v>
      </c>
      <c r="C10" s="12">
        <f>VLOOKUP(B10,[1]!Consulta1[#All],2,FALSE)</f>
        <v>39776</v>
      </c>
      <c r="E10">
        <v>240</v>
      </c>
      <c r="F10">
        <v>2.2999999999999998</v>
      </c>
      <c r="G10">
        <v>2.2999999999999998</v>
      </c>
      <c r="H10">
        <v>2.2999999999999998</v>
      </c>
      <c r="I10">
        <v>1.7</v>
      </c>
      <c r="J10">
        <v>1.6</v>
      </c>
      <c r="K10">
        <v>1.55</v>
      </c>
      <c r="M10" s="12">
        <f>VLOOKUP(A10,[1]!Consulta1[#All],2,FALSE)</f>
        <v>172</v>
      </c>
      <c r="O10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('172','39776','8265','8296','4','240','2.3','&lt;p&gt;EGP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accepted&lt;/p&gt;',1,1,3,'2.3','2.3','1.7','1.6','1.55','2024-12-31',now(),now(),2,'0','1');</v>
      </c>
      <c r="P10" s="12">
        <v>0</v>
      </c>
    </row>
    <row r="11" spans="1:16">
      <c r="A11" t="s">
        <v>17</v>
      </c>
      <c r="B11" t="s">
        <v>45</v>
      </c>
      <c r="C11" s="12">
        <f>VLOOKUP(B11,[1]!Consulta1[#All],2,FALSE)</f>
        <v>50852</v>
      </c>
      <c r="E11">
        <v>240</v>
      </c>
      <c r="F11">
        <v>2.2999999999999998</v>
      </c>
      <c r="G11">
        <v>2.2999999999999998</v>
      </c>
      <c r="H11">
        <v>2.2999999999999998</v>
      </c>
      <c r="I11">
        <v>1.7</v>
      </c>
      <c r="J11">
        <v>1.6</v>
      </c>
      <c r="K11">
        <v>1.55</v>
      </c>
      <c r="M11" s="12">
        <f>VLOOKUP(A11,[1]!Consulta1[#All],2,FALSE)</f>
        <v>172</v>
      </c>
      <c r="O11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('172','50852','8265','8296','4','240','2.3','&lt;p&gt;EGP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accepted&lt;/p&gt;',1,1,3,'2.3','2.3','1.7','1.6','1.55','2024-12-31',now(),now(),2,'0','1');</v>
      </c>
      <c r="P11" s="12">
        <v>0</v>
      </c>
    </row>
    <row r="12" spans="1:16">
      <c r="A12" t="s">
        <v>17</v>
      </c>
      <c r="B12" t="s">
        <v>22</v>
      </c>
      <c r="C12" s="12">
        <f>VLOOKUP(B12,[1]!Consulta1[#All],2,FALSE)</f>
        <v>49471</v>
      </c>
      <c r="E12">
        <v>240</v>
      </c>
      <c r="F12">
        <v>2.4</v>
      </c>
      <c r="G12">
        <v>2.4</v>
      </c>
      <c r="H12">
        <v>2.4</v>
      </c>
      <c r="I12">
        <v>1.7</v>
      </c>
      <c r="J12">
        <v>1.65</v>
      </c>
      <c r="K12">
        <v>1.6</v>
      </c>
      <c r="M12" s="12">
        <f>VLOOKUP(A12,[1]!Consulta1[#All],2,FALSE)</f>
        <v>172</v>
      </c>
      <c r="O12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('172','49471','8265','8296','4','240','2.4','&lt;p&gt;EGP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accepted&lt;/p&gt;',1,1,3,'2.4','2.4','1.7','1.65','1.6','2024-12-31',now(),now(),2,'0','1');</v>
      </c>
      <c r="P12" s="12">
        <v>0</v>
      </c>
    </row>
    <row r="13" spans="1:16">
      <c r="A13" t="s">
        <v>17</v>
      </c>
      <c r="B13" t="s">
        <v>23</v>
      </c>
      <c r="C13" s="12">
        <f>VLOOKUP(B13,[1]!Consulta1[#All],2,FALSE)</f>
        <v>50954</v>
      </c>
      <c r="E13">
        <v>230</v>
      </c>
      <c r="F13">
        <v>2.2999999999999998</v>
      </c>
      <c r="G13">
        <v>2.2999999999999998</v>
      </c>
      <c r="H13">
        <v>2.2999999999999998</v>
      </c>
      <c r="I13">
        <v>1.95</v>
      </c>
      <c r="J13">
        <v>1.75</v>
      </c>
      <c r="K13">
        <v>1.7</v>
      </c>
      <c r="M13" s="12">
        <f>VLOOKUP(A13,[1]!Consulta1[#All],2,FALSE)</f>
        <v>172</v>
      </c>
      <c r="O13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('172','50954','8265','8296','4','230','2.3','&lt;p&gt;EGP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accepted&lt;/p&gt;',1,1,3,'2.3','2.3','1.95','1.75','1.7','2024-12-31',now(),now(),2,'0','1');</v>
      </c>
      <c r="P13" s="12">
        <v>0</v>
      </c>
    </row>
    <row r="14" spans="1:16">
      <c r="A14" t="s">
        <v>17</v>
      </c>
      <c r="B14" t="s">
        <v>46</v>
      </c>
      <c r="C14" s="12">
        <f>VLOOKUP(B14,[1]!Consulta1[#All],2,FALSE)</f>
        <v>50915</v>
      </c>
      <c r="E14">
        <v>230</v>
      </c>
      <c r="F14">
        <v>2.2999999999999998</v>
      </c>
      <c r="G14">
        <v>2.2999999999999998</v>
      </c>
      <c r="H14">
        <v>2.2999999999999998</v>
      </c>
      <c r="I14">
        <v>1.65</v>
      </c>
      <c r="J14">
        <v>1.55</v>
      </c>
      <c r="K14">
        <v>1.5</v>
      </c>
      <c r="M14" s="12">
        <f>VLOOKUP(A14,[1]!Consulta1[#All],2,FALSE)</f>
        <v>172</v>
      </c>
      <c r="O14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('172','50915','8265','8296','4','230','2.3','&lt;p&gt;EGP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accepted&lt;/p&gt;',1,1,3,'2.3','2.3','1.65','1.55','1.5','2024-12-31',now(),now(),2,'0','1');</v>
      </c>
      <c r="P14" s="12">
        <v>0</v>
      </c>
    </row>
    <row r="15" spans="1:16">
      <c r="A15" t="s">
        <v>17</v>
      </c>
      <c r="B15" t="s">
        <v>47</v>
      </c>
      <c r="C15" s="12">
        <f>VLOOKUP(B15,[1]!Consulta1[#All],2,FALSE)</f>
        <v>49717</v>
      </c>
      <c r="E15">
        <v>230</v>
      </c>
      <c r="F15">
        <v>2.2999999999999998</v>
      </c>
      <c r="G15">
        <v>2.2999999999999998</v>
      </c>
      <c r="H15">
        <v>2.2999999999999998</v>
      </c>
      <c r="I15">
        <v>1.65</v>
      </c>
      <c r="J15">
        <v>1.55</v>
      </c>
      <c r="K15">
        <v>1.5</v>
      </c>
      <c r="M15" s="12">
        <f>VLOOKUP(A15,[1]!Consulta1[#All],2,FALSE)</f>
        <v>172</v>
      </c>
      <c r="O15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('172','49717','8265','8296','4','230','2.3','&lt;p&gt;EGP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accepted&lt;/p&gt;',1,1,3,'2.3','2.3','1.65','1.55','1.5','2024-12-31',now(),now(),2,'0','1');</v>
      </c>
      <c r="P15" s="12">
        <v>0</v>
      </c>
    </row>
    <row r="16" spans="1:16">
      <c r="A16" t="s">
        <v>17</v>
      </c>
      <c r="B16" t="s">
        <v>48</v>
      </c>
      <c r="C16" s="12">
        <f>VLOOKUP(B16,[1]!Consulta1[#All],2,FALSE)</f>
        <v>39769</v>
      </c>
      <c r="E16">
        <v>230</v>
      </c>
      <c r="F16">
        <v>2.2999999999999998</v>
      </c>
      <c r="G16">
        <v>2.2999999999999998</v>
      </c>
      <c r="H16">
        <v>2.2999999999999998</v>
      </c>
      <c r="I16">
        <v>1.65</v>
      </c>
      <c r="J16">
        <v>1.55</v>
      </c>
      <c r="K16">
        <v>1.5</v>
      </c>
      <c r="M16" s="12">
        <f>VLOOKUP(A16,[1]!Consulta1[#All],2,FALSE)</f>
        <v>172</v>
      </c>
      <c r="O16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('172','39769','8265','8296','4','230','2.3','&lt;p&gt;EGP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accepted&lt;/p&gt;',1,1,3,'2.3','2.3','1.65','1.55','1.5','2024-12-31',now(),now(),2,'0','1');</v>
      </c>
      <c r="P16" s="12">
        <v>0</v>
      </c>
    </row>
    <row r="17" spans="1:16">
      <c r="A17" t="s">
        <v>17</v>
      </c>
      <c r="B17" t="s">
        <v>24</v>
      </c>
      <c r="C17" s="12">
        <f>VLOOKUP(B17,[1]!Consulta1[#All],2,FALSE)</f>
        <v>50957</v>
      </c>
      <c r="E17">
        <v>320</v>
      </c>
      <c r="F17">
        <v>3.2</v>
      </c>
      <c r="G17">
        <v>3.2</v>
      </c>
      <c r="H17">
        <v>3.2</v>
      </c>
      <c r="I17">
        <v>2.9</v>
      </c>
      <c r="J17">
        <v>2.85</v>
      </c>
      <c r="K17">
        <v>2.6</v>
      </c>
      <c r="M17" s="12">
        <f>VLOOKUP(A17,[1]!Consulta1[#All],2,FALSE)</f>
        <v>172</v>
      </c>
      <c r="O17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('172','50957','8265','8296','4','320','3.2','&lt;p&gt;EGP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accepted&lt;/p&gt;',1,1,3,'3.2','3.2','2.9','2.85','2.6','2024-12-31',now(),now(),2,'0','1');</v>
      </c>
      <c r="P17" s="12">
        <v>0</v>
      </c>
    </row>
    <row r="18" spans="1:16">
      <c r="A18" t="s">
        <v>17</v>
      </c>
      <c r="B18" t="s">
        <v>25</v>
      </c>
      <c r="C18" s="12">
        <f>VLOOKUP(B18,[1]!Consulta1[#All],2,FALSE)</f>
        <v>51101</v>
      </c>
      <c r="E18">
        <v>400</v>
      </c>
      <c r="F18">
        <v>4</v>
      </c>
      <c r="G18">
        <v>4</v>
      </c>
      <c r="H18">
        <v>4</v>
      </c>
      <c r="I18">
        <v>3.6</v>
      </c>
      <c r="J18">
        <v>3.5</v>
      </c>
      <c r="K18">
        <v>3.4</v>
      </c>
      <c r="M18" s="12">
        <f>VLOOKUP(A18,[1]!Consulta1[#All],2,FALSE)</f>
        <v>172</v>
      </c>
      <c r="O18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('172','51101','8265','8296','4','400','4','&lt;p&gt;EGP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accepted&lt;/p&gt;',1,1,3,'4','4','3.6','3.5','3.4','2024-12-31',now(),now(),2,'0','1');</v>
      </c>
      <c r="P18" s="12">
        <v>0</v>
      </c>
    </row>
    <row r="19" spans="1:16">
      <c r="A19" t="s">
        <v>17</v>
      </c>
      <c r="B19" t="s">
        <v>26</v>
      </c>
      <c r="C19" s="12">
        <f>VLOOKUP(B19,[1]!Consulta1[#All],2,FALSE)</f>
        <v>39773</v>
      </c>
      <c r="E19">
        <v>240</v>
      </c>
      <c r="F19">
        <v>2.4</v>
      </c>
      <c r="G19">
        <v>2.4</v>
      </c>
      <c r="H19">
        <v>2.4</v>
      </c>
      <c r="I19">
        <v>2</v>
      </c>
      <c r="J19">
        <v>1.9</v>
      </c>
      <c r="K19">
        <v>1.7</v>
      </c>
      <c r="M19" s="12">
        <f>VLOOKUP(A19,[1]!Consulta1[#All],2,FALSE)</f>
        <v>172</v>
      </c>
      <c r="O19" s="1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('172','39773','8265','8296','4','240','2.4','&lt;p&gt;EGP 1 •Minimum must be reached before 100kg rate applies&lt;br&gt;•Rates are ALL-IN (including Fuel &amp; Security) Excluding EDI charges &amp; transit Shipment fee&lt;br&gt;•Transit Shipment Fee: $.05/kg with a $25.00 min (not applicable for Final destination CAI).&lt;br&gt;•Minimum Shipment Size of 100kg must be shown on the AWB otherwise TACT rates apply&lt;br&gt;•Known Shipper, Lower Deck, General Cargo only&lt;br&gt;•Loose rates based on average density of 1:9 (DG6 IATA)&lt;br&gt;•Not valid for Special Cargo&lt;br&gt;•Excludes Oversized Cargo (shipments containing pieces whose length exceeds 125 inches or width exceeds 96 inches)&lt;br&gt;•AWB execution date, not flown date, determines the validity of this agreement&lt;br&gt;•Rates are subject to capacity availability and rates are subject to change&lt;br&gt;•“As Agreed” mawb are not accepted&lt;/p&gt;',1,1,3,'2.4','2.4','2','1.9','1.7','2024-12-31',now(),now(),2,'0','1');</v>
      </c>
      <c r="P19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72BA-A2A1-4998-9089-DACA5E59B4B0}">
  <dimension ref="A1:I14"/>
  <sheetViews>
    <sheetView workbookViewId="0">
      <selection sqref="A1:I14"/>
    </sheetView>
  </sheetViews>
  <sheetFormatPr baseColWidth="10" defaultRowHeight="12.75"/>
  <sheetData>
    <row r="1" spans="1:9">
      <c r="A1" t="s">
        <v>33</v>
      </c>
      <c r="B1" t="s">
        <v>34</v>
      </c>
      <c r="C1" t="s">
        <v>27</v>
      </c>
      <c r="D1" t="s">
        <v>28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 t="s">
        <v>17</v>
      </c>
      <c r="B2" t="s">
        <v>18</v>
      </c>
      <c r="C2">
        <v>240</v>
      </c>
      <c r="D2">
        <v>2.4</v>
      </c>
      <c r="E2">
        <v>2.4</v>
      </c>
      <c r="F2">
        <v>2.4</v>
      </c>
      <c r="G2">
        <v>2</v>
      </c>
      <c r="H2">
        <v>1.85</v>
      </c>
      <c r="I2">
        <v>1.75</v>
      </c>
    </row>
    <row r="3" spans="1:9">
      <c r="A3" t="s">
        <v>17</v>
      </c>
      <c r="B3" t="s">
        <v>19</v>
      </c>
      <c r="C3">
        <v>230</v>
      </c>
      <c r="D3">
        <v>2.2999999999999998</v>
      </c>
      <c r="E3">
        <v>2.2999999999999998</v>
      </c>
      <c r="F3">
        <v>2.2999999999999998</v>
      </c>
      <c r="G3">
        <v>1.75</v>
      </c>
      <c r="H3">
        <v>1.6</v>
      </c>
      <c r="I3">
        <v>1.55</v>
      </c>
    </row>
    <row r="4" spans="1:9">
      <c r="A4" t="s">
        <v>17</v>
      </c>
      <c r="B4" t="s">
        <v>29</v>
      </c>
      <c r="C4">
        <v>230</v>
      </c>
      <c r="D4">
        <v>2.2999999999999998</v>
      </c>
      <c r="E4">
        <v>2.2999999999999998</v>
      </c>
      <c r="F4">
        <v>2.2999999999999998</v>
      </c>
      <c r="G4">
        <v>2.1</v>
      </c>
      <c r="H4">
        <v>2</v>
      </c>
      <c r="I4">
        <v>1.85</v>
      </c>
    </row>
    <row r="5" spans="1:9">
      <c r="A5" t="s">
        <v>17</v>
      </c>
      <c r="B5" t="s">
        <v>20</v>
      </c>
      <c r="C5">
        <v>230</v>
      </c>
      <c r="D5">
        <v>2.2999999999999998</v>
      </c>
      <c r="E5">
        <v>2.2999999999999998</v>
      </c>
      <c r="F5">
        <v>2.2999999999999998</v>
      </c>
      <c r="G5">
        <v>1.95</v>
      </c>
      <c r="H5">
        <v>1.75</v>
      </c>
      <c r="I5">
        <v>1.7</v>
      </c>
    </row>
    <row r="6" spans="1:9">
      <c r="A6" t="s">
        <v>17</v>
      </c>
      <c r="B6" t="s">
        <v>30</v>
      </c>
      <c r="C6">
        <v>230</v>
      </c>
      <c r="D6">
        <v>2.2999999999999998</v>
      </c>
      <c r="E6">
        <v>2.2999999999999998</v>
      </c>
      <c r="F6">
        <v>2.2999999999999998</v>
      </c>
      <c r="G6">
        <v>1.95</v>
      </c>
      <c r="H6">
        <v>1.75</v>
      </c>
      <c r="I6">
        <v>1.7</v>
      </c>
    </row>
    <row r="7" spans="1:9">
      <c r="A7" t="s">
        <v>17</v>
      </c>
      <c r="B7" t="s">
        <v>21</v>
      </c>
      <c r="C7">
        <v>230</v>
      </c>
      <c r="D7">
        <v>2.2999999999999998</v>
      </c>
      <c r="E7">
        <v>2.2999999999999998</v>
      </c>
      <c r="F7">
        <v>2.2999999999999998</v>
      </c>
      <c r="G7">
        <v>1.8</v>
      </c>
      <c r="H7">
        <v>1.7</v>
      </c>
      <c r="I7">
        <v>1.6</v>
      </c>
    </row>
    <row r="8" spans="1:9">
      <c r="A8" t="s">
        <v>17</v>
      </c>
      <c r="B8" t="s">
        <v>31</v>
      </c>
      <c r="C8">
        <v>240</v>
      </c>
      <c r="D8">
        <v>2.2999999999999998</v>
      </c>
      <c r="E8">
        <v>2.2999999999999998</v>
      </c>
      <c r="F8">
        <v>2.2999999999999998</v>
      </c>
      <c r="G8">
        <v>1.7</v>
      </c>
      <c r="H8">
        <v>1.6</v>
      </c>
      <c r="I8">
        <v>1.55</v>
      </c>
    </row>
    <row r="9" spans="1:9">
      <c r="A9" t="s">
        <v>17</v>
      </c>
      <c r="B9" t="s">
        <v>22</v>
      </c>
      <c r="C9">
        <v>240</v>
      </c>
      <c r="D9">
        <v>2.4</v>
      </c>
      <c r="E9">
        <v>2.4</v>
      </c>
      <c r="F9">
        <v>2.4</v>
      </c>
      <c r="G9">
        <v>1.7</v>
      </c>
      <c r="H9">
        <v>1.65</v>
      </c>
      <c r="I9">
        <v>1.6</v>
      </c>
    </row>
    <row r="10" spans="1:9">
      <c r="A10" t="s">
        <v>17</v>
      </c>
      <c r="B10" t="s">
        <v>23</v>
      </c>
      <c r="C10">
        <v>230</v>
      </c>
      <c r="D10">
        <v>2.2999999999999998</v>
      </c>
      <c r="E10">
        <v>2.2999999999999998</v>
      </c>
      <c r="F10">
        <v>2.2999999999999998</v>
      </c>
      <c r="G10">
        <v>1.95</v>
      </c>
      <c r="H10">
        <v>1.75</v>
      </c>
      <c r="I10">
        <v>1.7</v>
      </c>
    </row>
    <row r="11" spans="1:9">
      <c r="A11" t="s">
        <v>17</v>
      </c>
      <c r="B11" t="s">
        <v>32</v>
      </c>
      <c r="C11">
        <v>230</v>
      </c>
      <c r="D11">
        <v>2.2999999999999998</v>
      </c>
      <c r="E11">
        <v>2.2999999999999998</v>
      </c>
      <c r="F11">
        <v>2.2999999999999998</v>
      </c>
      <c r="G11">
        <v>1.65</v>
      </c>
      <c r="H11">
        <v>1.55</v>
      </c>
      <c r="I11">
        <v>1.5</v>
      </c>
    </row>
    <row r="12" spans="1:9">
      <c r="A12" t="s">
        <v>17</v>
      </c>
      <c r="B12" t="s">
        <v>24</v>
      </c>
      <c r="C12">
        <v>320</v>
      </c>
      <c r="D12">
        <v>3.2</v>
      </c>
      <c r="E12">
        <v>3.2</v>
      </c>
      <c r="F12">
        <v>3.2</v>
      </c>
      <c r="G12">
        <v>2.9</v>
      </c>
      <c r="H12">
        <v>2.85</v>
      </c>
      <c r="I12">
        <v>2.6</v>
      </c>
    </row>
    <row r="13" spans="1:9">
      <c r="A13" t="s">
        <v>17</v>
      </c>
      <c r="B13" t="s">
        <v>25</v>
      </c>
      <c r="C13">
        <v>400</v>
      </c>
      <c r="D13">
        <v>4</v>
      </c>
      <c r="E13">
        <v>4</v>
      </c>
      <c r="F13">
        <v>4</v>
      </c>
      <c r="G13">
        <v>3.6</v>
      </c>
      <c r="H13">
        <v>3.5</v>
      </c>
      <c r="I13">
        <v>3.4</v>
      </c>
    </row>
    <row r="14" spans="1:9">
      <c r="A14" t="s">
        <v>17</v>
      </c>
      <c r="B14" t="s">
        <v>26</v>
      </c>
      <c r="C14">
        <v>240</v>
      </c>
      <c r="D14">
        <v>2.4</v>
      </c>
      <c r="E14">
        <v>2.4</v>
      </c>
      <c r="F14">
        <v>2.4</v>
      </c>
      <c r="G14">
        <v>2</v>
      </c>
      <c r="H14">
        <v>1.9</v>
      </c>
      <c r="I14">
        <v>1.7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33203125" defaultRowHeight="12.75"/>
  <cols>
    <col min="1" max="1" width="131.5" customWidth="1"/>
  </cols>
  <sheetData>
    <row r="1" spans="1:1" ht="282" customHeight="1">
      <c r="A1" s="1" t="s">
        <v>16</v>
      </c>
    </row>
    <row r="2" spans="1:1" ht="53.1" customHeight="1"/>
  </sheetData>
  <hyperlinks>
    <hyperlink ref="A1" r:id="rId1" display="mailto:bookings@atc-aviationusa.com" xr:uid="{00000000-0004-0000-0200-000000000000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D2066-3D8E-4E0C-99BC-BF06D1F04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Tabla1</vt:lpstr>
      <vt:lpstr>Hoja2</vt:lpstr>
      <vt:lpstr>Hoja1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Pfeil</dc:creator>
  <cp:lastModifiedBy>anthony.ram7r3z@gmail.com</cp:lastModifiedBy>
  <dcterms:created xsi:type="dcterms:W3CDTF">2024-11-27T15:29:54Z</dcterms:created>
  <dcterms:modified xsi:type="dcterms:W3CDTF">2024-11-27T15:32:49Z</dcterms:modified>
</cp:coreProperties>
</file>