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\tariff\air\AVIANCA\"/>
    </mc:Choice>
  </mc:AlternateContent>
  <xr:revisionPtr revIDLastSave="0" documentId="8_{906D29D3-B7F6-4691-BC28-6D05F328C2C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able 1" sheetId="1" r:id="rId1"/>
    <sheet name="Hoja1" sheetId="3" r:id="rId2"/>
    <sheet name="Table 2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" l="1"/>
  <c r="O3" i="3"/>
  <c r="O4" i="3"/>
  <c r="O5" i="3"/>
  <c r="O6" i="3"/>
  <c r="O7" i="3"/>
  <c r="O8" i="3"/>
  <c r="O9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" i="3"/>
</calcChain>
</file>

<file path=xl/sharedStrings.xml><?xml version="1.0" encoding="utf-8"?>
<sst xmlns="http://schemas.openxmlformats.org/spreadsheetml/2006/main" count="185" uniqueCount="140">
  <si>
    <r>
      <rPr>
        <b/>
        <sz val="10"/>
        <color rgb="FFFFFFFF"/>
        <rFont val="Calibri"/>
        <family val="1"/>
      </rPr>
      <t>Agent  Name:</t>
    </r>
  </si>
  <si>
    <r>
      <rPr>
        <b/>
        <sz val="11"/>
        <color rgb="FFFFFFFF"/>
        <rFont val="Calibri"/>
        <family val="1"/>
      </rPr>
      <t>NEXT LOGISTICS GROUP                                            Account Number:</t>
    </r>
  </si>
  <si>
    <r>
      <rPr>
        <b/>
        <sz val="10"/>
        <color rgb="FFFFFFFF"/>
        <rFont val="Calibri"/>
        <family val="1"/>
      </rPr>
      <t>Contact Name:</t>
    </r>
  </si>
  <si>
    <r>
      <rPr>
        <b/>
        <sz val="11"/>
        <color rgb="FFFFFFFF"/>
        <rFont val="Calibri"/>
        <family val="1"/>
      </rPr>
      <t>SANDRA BERECHE                                                       Phone Number:           51934273523</t>
    </r>
  </si>
  <si>
    <r>
      <rPr>
        <b/>
        <sz val="11"/>
        <color rgb="FFFFFFFF"/>
        <rFont val="Calibri"/>
        <family val="1"/>
      </rPr>
      <t>Address:</t>
    </r>
  </si>
  <si>
    <r>
      <rPr>
        <b/>
        <sz val="11"/>
        <color rgb="FFFFFFFF"/>
        <rFont val="Calibri"/>
        <family val="1"/>
      </rPr>
      <t>9955 NW 31 ST STREET SUITE 200                           E-Mail Address :</t>
    </r>
  </si>
  <si>
    <r>
      <rPr>
        <b/>
        <sz val="13.5"/>
        <rFont val="Calibri"/>
        <family val="1"/>
      </rPr>
      <t>Station: MIA</t>
    </r>
  </si>
  <si>
    <r>
      <rPr>
        <b/>
        <sz val="13.5"/>
        <rFont val="Calibri"/>
        <family val="1"/>
      </rPr>
      <t>Applies From:</t>
    </r>
  </si>
  <si>
    <r>
      <rPr>
        <b/>
        <sz val="11"/>
        <color rgb="FFFFFFFF"/>
        <rFont val="Calibri"/>
        <family val="1"/>
      </rPr>
      <t xml:space="preserve">Destinations
</t>
    </r>
    <r>
      <rPr>
        <b/>
        <sz val="12"/>
        <color rgb="FFFFFFFF"/>
        <rFont val="Calibri"/>
        <family val="1"/>
      </rPr>
      <t>Airport</t>
    </r>
  </si>
  <si>
    <r>
      <rPr>
        <b/>
        <sz val="12"/>
        <color rgb="FFFFFFFF"/>
        <rFont val="Calibri"/>
        <family val="1"/>
      </rPr>
      <t>City Name</t>
    </r>
  </si>
  <si>
    <r>
      <rPr>
        <b/>
        <sz val="12"/>
        <color rgb="FFFFFFFF"/>
        <rFont val="Calibri"/>
        <family val="1"/>
      </rPr>
      <t>Commodity</t>
    </r>
  </si>
  <si>
    <r>
      <rPr>
        <b/>
        <sz val="12"/>
        <color rgb="FFFFFFFF"/>
        <rFont val="Calibri"/>
        <family val="1"/>
      </rPr>
      <t xml:space="preserve">Minimu
</t>
    </r>
    <r>
      <rPr>
        <b/>
        <sz val="12"/>
        <color rgb="FFFFFFFF"/>
        <rFont val="Calibri"/>
        <family val="1"/>
      </rPr>
      <t>m</t>
    </r>
  </si>
  <si>
    <r>
      <rPr>
        <b/>
        <sz val="12"/>
        <color rgb="FFFFFFFF"/>
        <rFont val="Calibri"/>
        <family val="1"/>
      </rPr>
      <t xml:space="preserve">Fuel x
</t>
    </r>
    <r>
      <rPr>
        <b/>
        <sz val="12"/>
        <color rgb="FFFFFFFF"/>
        <rFont val="Calibri"/>
        <family val="1"/>
      </rPr>
      <t>KG</t>
    </r>
  </si>
  <si>
    <r>
      <rPr>
        <sz val="11"/>
        <rFont val="Calibri"/>
        <family val="1"/>
      </rPr>
      <t>AGT</t>
    </r>
  </si>
  <si>
    <r>
      <rPr>
        <sz val="11"/>
        <rFont val="Calibri"/>
        <family val="1"/>
      </rPr>
      <t>Ciudad del Este,  PY</t>
    </r>
  </si>
  <si>
    <r>
      <rPr>
        <sz val="11"/>
        <rFont val="Calibri"/>
        <family val="1"/>
      </rPr>
      <t>GENERAL</t>
    </r>
  </si>
  <si>
    <r>
      <rPr>
        <sz val="11"/>
        <rFont val="Calibri"/>
        <family val="1"/>
      </rPr>
      <t>ASU</t>
    </r>
  </si>
  <si>
    <r>
      <rPr>
        <sz val="11"/>
        <rFont val="Calibri"/>
        <family val="1"/>
      </rPr>
      <t>Asuncion, PY</t>
    </r>
  </si>
  <si>
    <r>
      <rPr>
        <sz val="11"/>
        <rFont val="Calibri"/>
        <family val="1"/>
      </rPr>
      <t>BAQ</t>
    </r>
  </si>
  <si>
    <r>
      <rPr>
        <sz val="11"/>
        <rFont val="Calibri"/>
        <family val="1"/>
      </rPr>
      <t>Barranquilla, CO</t>
    </r>
  </si>
  <si>
    <r>
      <rPr>
        <sz val="11"/>
        <rFont val="Calibri"/>
        <family val="1"/>
      </rPr>
      <t>BOG</t>
    </r>
  </si>
  <si>
    <r>
      <rPr>
        <sz val="11"/>
        <rFont val="Calibri"/>
        <family val="1"/>
      </rPr>
      <t>Bogota, CO</t>
    </r>
  </si>
  <si>
    <r>
      <rPr>
        <sz val="11"/>
        <rFont val="Calibri"/>
        <family val="1"/>
      </rPr>
      <t>CLO</t>
    </r>
  </si>
  <si>
    <r>
      <rPr>
        <sz val="11"/>
        <rFont val="Calibri"/>
        <family val="1"/>
      </rPr>
      <t>Cali, CO</t>
    </r>
  </si>
  <si>
    <r>
      <rPr>
        <sz val="11"/>
        <rFont val="Calibri"/>
        <family val="1"/>
      </rPr>
      <t>CWB</t>
    </r>
  </si>
  <si>
    <r>
      <rPr>
        <sz val="11"/>
        <rFont val="Calibri"/>
        <family val="1"/>
      </rPr>
      <t>Curitiba, BR</t>
    </r>
  </si>
  <si>
    <r>
      <rPr>
        <sz val="11"/>
        <rFont val="Calibri"/>
        <family val="1"/>
      </rPr>
      <t>EZE</t>
    </r>
  </si>
  <si>
    <r>
      <rPr>
        <sz val="11"/>
        <rFont val="Calibri"/>
        <family val="1"/>
      </rPr>
      <t>Ezeiza, AR</t>
    </r>
  </si>
  <si>
    <r>
      <rPr>
        <sz val="11"/>
        <rFont val="Calibri"/>
        <family val="1"/>
      </rPr>
      <t>FLN</t>
    </r>
  </si>
  <si>
    <r>
      <rPr>
        <sz val="11"/>
        <rFont val="Calibri"/>
        <family val="1"/>
      </rPr>
      <t>Floridanapoles, BR</t>
    </r>
  </si>
  <si>
    <r>
      <rPr>
        <sz val="11"/>
        <rFont val="Calibri"/>
        <family val="1"/>
      </rPr>
      <t>GIG</t>
    </r>
  </si>
  <si>
    <r>
      <rPr>
        <sz val="11"/>
        <rFont val="Calibri"/>
        <family val="1"/>
      </rPr>
      <t>Rio de Janeiro, BR</t>
    </r>
  </si>
  <si>
    <r>
      <rPr>
        <sz val="11"/>
        <rFont val="Calibri"/>
        <family val="1"/>
      </rPr>
      <t>GRU</t>
    </r>
  </si>
  <si>
    <r>
      <rPr>
        <sz val="11"/>
        <rFont val="Calibri"/>
        <family val="1"/>
      </rPr>
      <t>Guarulos, BR</t>
    </r>
  </si>
  <si>
    <r>
      <rPr>
        <sz val="11"/>
        <rFont val="Calibri"/>
        <family val="1"/>
      </rPr>
      <t>GUA</t>
    </r>
  </si>
  <si>
    <r>
      <rPr>
        <sz val="11"/>
        <rFont val="Calibri"/>
        <family val="1"/>
      </rPr>
      <t>Guatemala, GT</t>
    </r>
  </si>
  <si>
    <r>
      <rPr>
        <sz val="11"/>
        <rFont val="Calibri"/>
        <family val="1"/>
      </rPr>
      <t>GYE</t>
    </r>
  </si>
  <si>
    <r>
      <rPr>
        <sz val="11"/>
        <rFont val="Calibri"/>
        <family val="1"/>
      </rPr>
      <t>Guayaquil, EC</t>
    </r>
  </si>
  <si>
    <r>
      <rPr>
        <sz val="11"/>
        <rFont val="Calibri"/>
        <family val="1"/>
      </rPr>
      <t>MAO</t>
    </r>
  </si>
  <si>
    <r>
      <rPr>
        <sz val="11"/>
        <rFont val="Calibri"/>
        <family val="1"/>
      </rPr>
      <t>Manaos, BR</t>
    </r>
  </si>
  <si>
    <r>
      <rPr>
        <sz val="11"/>
        <rFont val="Calibri"/>
        <family val="1"/>
      </rPr>
      <t>MDE</t>
    </r>
  </si>
  <si>
    <r>
      <rPr>
        <sz val="11"/>
        <rFont val="Calibri"/>
        <family val="1"/>
      </rPr>
      <t>Medellin, CO</t>
    </r>
  </si>
  <si>
    <r>
      <rPr>
        <sz val="11"/>
        <rFont val="Calibri"/>
        <family val="1"/>
      </rPr>
      <t>MVD</t>
    </r>
  </si>
  <si>
    <r>
      <rPr>
        <sz val="11"/>
        <rFont val="Calibri"/>
        <family val="1"/>
      </rPr>
      <t>Montevideo, UY</t>
    </r>
  </si>
  <si>
    <r>
      <rPr>
        <sz val="11"/>
        <rFont val="Calibri"/>
        <family val="1"/>
      </rPr>
      <t>PTY</t>
    </r>
  </si>
  <si>
    <r>
      <rPr>
        <sz val="11"/>
        <rFont val="Calibri"/>
        <family val="1"/>
      </rPr>
      <t>Panama, PA</t>
    </r>
  </si>
  <si>
    <r>
      <rPr>
        <sz val="11"/>
        <rFont val="Calibri"/>
        <family val="1"/>
      </rPr>
      <t>SAL</t>
    </r>
  </si>
  <si>
    <r>
      <rPr>
        <sz val="11"/>
        <rFont val="Calibri"/>
        <family val="1"/>
      </rPr>
      <t>San Salvador, SV</t>
    </r>
  </si>
  <si>
    <r>
      <rPr>
        <sz val="11"/>
        <rFont val="Calibri"/>
        <family val="1"/>
      </rPr>
      <t>SAP</t>
    </r>
  </si>
  <si>
    <r>
      <rPr>
        <sz val="11"/>
        <rFont val="Calibri"/>
        <family val="1"/>
      </rPr>
      <t>SanPedro Sula, HN</t>
    </r>
  </si>
  <si>
    <r>
      <rPr>
        <sz val="11"/>
        <rFont val="Calibri"/>
        <family val="1"/>
      </rPr>
      <t>SCL</t>
    </r>
  </si>
  <si>
    <r>
      <rPr>
        <sz val="11"/>
        <rFont val="Calibri"/>
        <family val="1"/>
      </rPr>
      <t>Santiago, CL</t>
    </r>
  </si>
  <si>
    <r>
      <rPr>
        <sz val="11"/>
        <rFont val="Calibri"/>
        <family val="1"/>
      </rPr>
      <t>SJO</t>
    </r>
  </si>
  <si>
    <r>
      <rPr>
        <sz val="11"/>
        <rFont val="Calibri"/>
        <family val="1"/>
      </rPr>
      <t>San Jose, CR</t>
    </r>
  </si>
  <si>
    <r>
      <rPr>
        <sz val="11"/>
        <rFont val="Calibri"/>
        <family val="1"/>
      </rPr>
      <t>UIO</t>
    </r>
  </si>
  <si>
    <r>
      <rPr>
        <sz val="11"/>
        <rFont val="Calibri"/>
        <family val="1"/>
      </rPr>
      <t>Quito, EC</t>
    </r>
  </si>
  <si>
    <r>
      <rPr>
        <sz val="11"/>
        <rFont val="Calibri"/>
        <family val="1"/>
      </rPr>
      <t>VCP</t>
    </r>
  </si>
  <si>
    <r>
      <rPr>
        <sz val="11"/>
        <rFont val="Calibri"/>
        <family val="1"/>
      </rPr>
      <t>Viracopos, BR</t>
    </r>
  </si>
  <si>
    <r>
      <rPr>
        <sz val="11"/>
        <rFont val="Calibri"/>
        <family val="1"/>
      </rPr>
      <t>VIX</t>
    </r>
  </si>
  <si>
    <r>
      <rPr>
        <sz val="11"/>
        <rFont val="Calibri"/>
        <family val="1"/>
      </rPr>
      <t>Vitoria, BR</t>
    </r>
  </si>
  <si>
    <r>
      <rPr>
        <b/>
        <sz val="13.5"/>
        <color rgb="FFFFFFFF"/>
        <rFont val="Calibri"/>
        <family val="1"/>
      </rPr>
      <t>Special Shipments</t>
    </r>
  </si>
  <si>
    <r>
      <rPr>
        <b/>
        <sz val="11"/>
        <color rgb="FFFFFFFF"/>
        <rFont val="Calibri"/>
        <family val="1"/>
      </rPr>
      <t>Product Description</t>
    </r>
  </si>
  <si>
    <r>
      <rPr>
        <b/>
        <sz val="10"/>
        <color rgb="FFFFFFFF"/>
        <rFont val="Calibri"/>
        <family val="1"/>
      </rPr>
      <t xml:space="preserve">MIN/Fixed MIN
</t>
    </r>
    <r>
      <rPr>
        <b/>
        <sz val="10"/>
        <color rgb="FFFFFFFF"/>
        <rFont val="Calibri"/>
        <family val="1"/>
      </rPr>
      <t xml:space="preserve">o %
</t>
    </r>
    <r>
      <rPr>
        <b/>
        <sz val="10"/>
        <color rgb="FFFFFFFF"/>
        <rFont val="Calibri"/>
        <family val="1"/>
      </rPr>
      <t>overMIN</t>
    </r>
  </si>
  <si>
    <r>
      <rPr>
        <b/>
        <sz val="10"/>
        <color rgb="FFFFFFFF"/>
        <rFont val="Calibri"/>
        <family val="1"/>
      </rPr>
      <t>$ over applicable rate</t>
    </r>
  </si>
  <si>
    <r>
      <rPr>
        <b/>
        <sz val="10"/>
        <color rgb="FFFFFFFF"/>
        <rFont val="Calibri"/>
        <family val="1"/>
      </rPr>
      <t>Additional Information</t>
    </r>
  </si>
  <si>
    <r>
      <rPr>
        <sz val="10"/>
        <rFont val="Calibri"/>
        <family val="1"/>
      </rPr>
      <t>Dangerous Goods DGR Except MAO</t>
    </r>
  </si>
  <si>
    <r>
      <rPr>
        <b/>
        <sz val="10"/>
        <rFont val="Calibri"/>
        <family val="1"/>
      </rPr>
      <t>UN FEE $100.00</t>
    </r>
  </si>
  <si>
    <r>
      <rPr>
        <sz val="10"/>
        <rFont val="Calibri"/>
        <family val="1"/>
      </rPr>
      <t>Perishable Cargo (PER)</t>
    </r>
  </si>
  <si>
    <r>
      <rPr>
        <sz val="10"/>
        <rFont val="Calibri"/>
        <family val="1"/>
      </rPr>
      <t>Dangerous Goods UN 3090</t>
    </r>
  </si>
  <si>
    <r>
      <rPr>
        <b/>
        <sz val="10"/>
        <rFont val="Calibri"/>
        <family val="1"/>
      </rPr>
      <t>UN 3090 $200.00</t>
    </r>
  </si>
  <si>
    <r>
      <rPr>
        <sz val="10"/>
        <rFont val="Calibri"/>
        <family val="1"/>
      </rPr>
      <t>Live Animals (AVI)</t>
    </r>
  </si>
  <si>
    <r>
      <rPr>
        <sz val="10"/>
        <rFont val="Calibri"/>
        <family val="1"/>
      </rPr>
      <t>High Valuable (VAL)</t>
    </r>
  </si>
  <si>
    <r>
      <rPr>
        <sz val="10"/>
        <rFont val="Calibri"/>
        <family val="1"/>
      </rPr>
      <t>Human Remains (HUM) &gt; 60K</t>
    </r>
  </si>
  <si>
    <r>
      <rPr>
        <sz val="10"/>
        <rFont val="Calibri"/>
        <family val="1"/>
      </rPr>
      <t>Ashed and Human Remains (HUM) &lt; 60 K</t>
    </r>
  </si>
  <si>
    <r>
      <rPr>
        <b/>
        <sz val="12"/>
        <color rgb="FFFFFFFF"/>
        <rFont val="Calibri"/>
        <family val="1"/>
      </rPr>
      <t>CHARGES</t>
    </r>
  </si>
  <si>
    <r>
      <rPr>
        <b/>
        <sz val="12"/>
        <color rgb="FFFFFFFF"/>
        <rFont val="Calibri"/>
        <family val="1"/>
      </rPr>
      <t>MIN o fixed rate</t>
    </r>
  </si>
  <si>
    <r>
      <rPr>
        <b/>
        <sz val="12"/>
        <color rgb="FFFFFFFF"/>
        <rFont val="Calibri"/>
        <family val="1"/>
      </rPr>
      <t>Fixed Rate</t>
    </r>
  </si>
  <si>
    <r>
      <rPr>
        <b/>
        <sz val="12"/>
        <color rgb="FFFFFFFF"/>
        <rFont val="Calibri"/>
        <family val="1"/>
      </rPr>
      <t xml:space="preserve">%
</t>
    </r>
    <r>
      <rPr>
        <b/>
        <sz val="12"/>
        <color rgb="FFFFFFFF"/>
        <rFont val="Calibri"/>
        <family val="1"/>
      </rPr>
      <t>Applicab le</t>
    </r>
  </si>
  <si>
    <r>
      <rPr>
        <b/>
        <sz val="12"/>
        <color rgb="FFFFFFFF"/>
        <rFont val="Calibri"/>
        <family val="1"/>
      </rPr>
      <t>Additional Information</t>
    </r>
  </si>
  <si>
    <r>
      <rPr>
        <sz val="10"/>
        <rFont val="Calibri Light"/>
        <family val="1"/>
      </rPr>
      <t>FUEL SURCHARGE</t>
    </r>
  </si>
  <si>
    <r>
      <rPr>
        <sz val="10"/>
        <rFont val="Calibri Light"/>
        <family val="1"/>
      </rPr>
      <t>Applicable over Chargeable weight</t>
    </r>
  </si>
  <si>
    <r>
      <rPr>
        <sz val="10"/>
        <rFont val="Calibri"/>
        <family val="1"/>
      </rPr>
      <t>Collect Fee Except UIO and GYE (FC)</t>
    </r>
  </si>
  <si>
    <r>
      <rPr>
        <sz val="10"/>
        <rFont val="Calibri"/>
        <family val="1"/>
      </rPr>
      <t>Applicable over freight charges</t>
    </r>
  </si>
  <si>
    <r>
      <rPr>
        <sz val="10"/>
        <rFont val="Calibri"/>
        <family val="1"/>
      </rPr>
      <t>Collect Fee  UIO and GYE (FC)</t>
    </r>
  </si>
  <si>
    <r>
      <rPr>
        <sz val="10"/>
        <rFont val="Calibri"/>
        <family val="1"/>
      </rPr>
      <t>Applicable over Due Agent</t>
    </r>
  </si>
  <si>
    <r>
      <rPr>
        <sz val="10"/>
        <rFont val="Calibri"/>
        <family val="1"/>
      </rPr>
      <t>Airwaybills issued at counter</t>
    </r>
  </si>
  <si>
    <r>
      <rPr>
        <sz val="10"/>
        <rFont val="Calibri"/>
        <family val="1"/>
      </rPr>
      <t>AWB's to or transit by PUJ.</t>
    </r>
  </si>
  <si>
    <r>
      <rPr>
        <b/>
        <sz val="12"/>
        <color rgb="FFFFFFFF"/>
        <rFont val="Calibri"/>
        <family val="1"/>
      </rPr>
      <t>GENERAL TERMS AND CONDITIONS</t>
    </r>
  </si>
  <si>
    <r>
      <rPr>
        <sz val="9"/>
        <rFont val="Calibri"/>
        <family val="1"/>
      </rPr>
      <t>Rates are in US Dollars per kilogram over chargeable weight. Subject to change and/ or cancellation without previous notification.</t>
    </r>
  </si>
  <si>
    <r>
      <rPr>
        <sz val="9"/>
        <rFont val="Calibri"/>
        <family val="1"/>
      </rPr>
      <t>Breakdown intermediate point rule will not apply.</t>
    </r>
  </si>
  <si>
    <r>
      <rPr>
        <sz val="9"/>
        <rFont val="Calibri"/>
        <family val="1"/>
      </rPr>
      <t>All applicable "Other Charges" should be included in the Due Carrier field of the air waybill.</t>
    </r>
  </si>
  <si>
    <r>
      <rPr>
        <sz val="9"/>
        <rFont val="Calibri"/>
        <family val="1"/>
      </rPr>
      <t>For quotes on Must Go shipments, please contact customer service department or sales executives.</t>
    </r>
  </si>
  <si>
    <r>
      <rPr>
        <sz val="9"/>
        <rFont val="Calibri"/>
        <family val="1"/>
      </rPr>
      <t>For quotes on Oversize shipments , please contact customer service department or your sales executive.</t>
    </r>
  </si>
  <si>
    <r>
      <rPr>
        <sz val="9"/>
        <rFont val="Calibri"/>
        <family val="1"/>
      </rPr>
      <t>In any case Freight Charges or Fuel Surcharge could be less than the applicable minimum.</t>
    </r>
  </si>
  <si>
    <r>
      <rPr>
        <sz val="9"/>
        <rFont val="Calibri"/>
        <family val="1"/>
      </rPr>
      <t>Rates for high season will be published with previous notice, replacing  public rates for the timeframe of the high season.</t>
    </r>
  </si>
  <si>
    <r>
      <rPr>
        <sz val="9"/>
        <rFont val="Calibri"/>
        <family val="1"/>
      </rPr>
      <t>There is not applicables exceptions to this rate contract.</t>
    </r>
  </si>
  <si>
    <r>
      <rPr>
        <sz val="9"/>
        <rFont val="Calibri"/>
        <family val="1"/>
      </rPr>
      <t xml:space="preserve">Any special negotiation, should be handled and confirmed with an ADHOC (Spot Rate).
</t>
    </r>
    <r>
      <rPr>
        <sz val="9"/>
        <rFont val="Calibri"/>
        <family val="1"/>
      </rPr>
      <t>Cargo without reservation, will not be accepted at our warehouse, thank you for your cooperation.</t>
    </r>
  </si>
  <si>
    <r>
      <rPr>
        <sz val="9"/>
        <rFont val="Calibri"/>
        <family val="1"/>
      </rPr>
      <t xml:space="preserve">Please note this rate sheet can be modified by any announcements made by the airline at any given time. If you  rates in order to prevent any
</t>
    </r>
    <r>
      <rPr>
        <sz val="9"/>
        <rFont val="Calibri"/>
        <family val="1"/>
      </rPr>
      <t>problem due to rate discrepancies.receive a letter from the airline please adjust the above. Contract  Rate will not be valid until signed by customer.</t>
    </r>
  </si>
  <si>
    <r>
      <rPr>
        <b/>
        <sz val="11"/>
        <color rgb="FFFFFFFF"/>
        <rFont val="Calibri"/>
        <family val="1"/>
      </rPr>
      <t>Agent Signature</t>
    </r>
  </si>
  <si>
    <r>
      <rPr>
        <b/>
        <sz val="11"/>
        <rFont val="Calibri"/>
        <family val="1"/>
      </rPr>
      <t>Emma Aleman</t>
    </r>
  </si>
  <si>
    <r>
      <rPr>
        <sz val="11"/>
        <rFont val="Calibri"/>
        <family val="1"/>
      </rPr>
      <t>Signature:</t>
    </r>
  </si>
  <si>
    <r>
      <rPr>
        <b/>
        <sz val="11"/>
        <rFont val="Calibri"/>
        <family val="1"/>
      </rPr>
      <t>Sales Executive</t>
    </r>
  </si>
  <si>
    <r>
      <rPr>
        <sz val="11"/>
        <rFont val="Calibri"/>
        <family val="1"/>
      </rPr>
      <t>Name       :</t>
    </r>
  </si>
  <si>
    <r>
      <rPr>
        <sz val="11"/>
        <rFont val="Calibri"/>
        <family val="1"/>
      </rPr>
      <t>Title          :</t>
    </r>
  </si>
  <si>
    <r>
      <rPr>
        <u/>
        <sz val="11"/>
        <color rgb="FF0462C1"/>
        <rFont val="Calibri"/>
        <family val="1"/>
      </rPr>
      <t>emma.aleman@avianca.com</t>
    </r>
  </si>
  <si>
    <r>
      <rPr>
        <sz val="11"/>
        <rFont val="Calibri"/>
        <family val="1"/>
      </rPr>
      <t>Date          :</t>
    </r>
  </si>
  <si>
    <t>Destinations
Airport</t>
  </si>
  <si>
    <t>Commodity</t>
  </si>
  <si>
    <t>Minimu
m</t>
  </si>
  <si>
    <t>AGT</t>
  </si>
  <si>
    <t>ASU</t>
  </si>
  <si>
    <t>BAQ</t>
  </si>
  <si>
    <t>BOG</t>
  </si>
  <si>
    <t>CLO</t>
  </si>
  <si>
    <t>CWB</t>
  </si>
  <si>
    <t>EZE</t>
  </si>
  <si>
    <t>FLN</t>
  </si>
  <si>
    <t>GIG</t>
  </si>
  <si>
    <t>GRU</t>
  </si>
  <si>
    <t>GUA</t>
  </si>
  <si>
    <t>GYE</t>
  </si>
  <si>
    <t>MAO</t>
  </si>
  <si>
    <t>MDE</t>
  </si>
  <si>
    <t>MVD</t>
  </si>
  <si>
    <t>PTY</t>
  </si>
  <si>
    <t>SAL</t>
  </si>
  <si>
    <t>SAP</t>
  </si>
  <si>
    <t>SCL</t>
  </si>
  <si>
    <t>SJO</t>
  </si>
  <si>
    <t>UIO</t>
  </si>
  <si>
    <t>VCP</t>
  </si>
  <si>
    <t>VIX</t>
  </si>
  <si>
    <t>n</t>
  </si>
  <si>
    <t>MIA</t>
  </si>
  <si>
    <t>comment</t>
  </si>
  <si>
    <t>origin_id</t>
  </si>
  <si>
    <t>commodity_id</t>
  </si>
  <si>
    <t>insert</t>
  </si>
  <si>
    <t>cost</t>
  </si>
  <si>
    <t>&lt;p&gt;ALLIN&lt;/p&gt;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</si>
</sst>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 yyyy;@"/>
    <numFmt numFmtId="165" formatCode="\$0.00"/>
    <numFmt numFmtId="166" formatCode="\$0"/>
  </numFmts>
  <fonts count="28">
    <font>
      <sz val="10"/>
      <color rgb="FF000000"/>
      <name val="Times New Roman"/>
      <charset val="204"/>
    </font>
    <font>
      <b/>
      <sz val="10"/>
      <name val="Calibri"/>
    </font>
    <font>
      <b/>
      <sz val="11"/>
      <name val="Calibri"/>
    </font>
    <font>
      <b/>
      <sz val="13.5"/>
      <name val="Calibri"/>
    </font>
    <font>
      <b/>
      <sz val="13.5"/>
      <color rgb="FF000000"/>
      <name val="Calibri"/>
      <family val="2"/>
    </font>
    <font>
      <b/>
      <sz val="12"/>
      <name val="Calibri"/>
    </font>
    <font>
      <b/>
      <sz val="12"/>
      <color rgb="FFFFFFFF"/>
      <name val="Calibri"/>
      <family val="2"/>
    </font>
    <font>
      <sz val="11"/>
      <name val="Calibri"/>
    </font>
    <font>
      <sz val="11"/>
      <color rgb="FF000000"/>
      <name val="Calibri"/>
      <family val="2"/>
    </font>
    <font>
      <sz val="10"/>
      <name val="Calibri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 Light"/>
    </font>
    <font>
      <sz val="9"/>
      <name val="Calibri"/>
    </font>
    <font>
      <b/>
      <sz val="11"/>
      <color rgb="FF000000"/>
      <name val="Calibri"/>
      <family val="2"/>
    </font>
    <font>
      <b/>
      <sz val="10"/>
      <color rgb="FFFFFFFF"/>
      <name val="Calibri"/>
      <family val="1"/>
    </font>
    <font>
      <b/>
      <sz val="11"/>
      <color rgb="FFFFFFFF"/>
      <name val="Calibri"/>
      <family val="1"/>
    </font>
    <font>
      <b/>
      <sz val="13.5"/>
      <name val="Calibri"/>
      <family val="1"/>
    </font>
    <font>
      <b/>
      <sz val="12"/>
      <color rgb="FFFFFFFF"/>
      <name val="Calibri"/>
      <family val="1"/>
    </font>
    <font>
      <sz val="11"/>
      <name val="Calibri"/>
      <family val="1"/>
    </font>
    <font>
      <b/>
      <sz val="13.5"/>
      <color rgb="FFFFFFFF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name val="Calibri Light"/>
      <family val="1"/>
    </font>
    <font>
      <sz val="9"/>
      <name val="Calibri"/>
      <family val="1"/>
    </font>
    <font>
      <b/>
      <sz val="11"/>
      <name val="Calibri"/>
      <family val="1"/>
    </font>
    <font>
      <u/>
      <sz val="11"/>
      <color rgb="FF0462C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DA291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1" fontId="6" fillId="2" borderId="6" xfId="0" applyNumberFormat="1" applyFont="1" applyFill="1" applyBorder="1" applyAlignment="1">
      <alignment horizontal="left" vertical="top" indent="1" shrinkToFit="1"/>
    </xf>
    <xf numFmtId="1" fontId="6" fillId="2" borderId="6" xfId="0" applyNumberFormat="1" applyFont="1" applyFill="1" applyBorder="1" applyAlignment="1">
      <alignment horizontal="left" vertical="top" indent="2" shrinkToFit="1"/>
    </xf>
    <xf numFmtId="1" fontId="6" fillId="2" borderId="6" xfId="0" applyNumberFormat="1" applyFont="1" applyFill="1" applyBorder="1" applyAlignment="1">
      <alignment horizontal="center" vertical="top" shrinkToFit="1"/>
    </xf>
    <xf numFmtId="0" fontId="7" fillId="0" borderId="6" xfId="0" applyFont="1" applyFill="1" applyBorder="1" applyAlignment="1">
      <alignment horizontal="center" vertical="top" wrapText="1"/>
    </xf>
    <xf numFmtId="165" fontId="8" fillId="0" borderId="6" xfId="0" applyNumberFormat="1" applyFont="1" applyFill="1" applyBorder="1" applyAlignment="1">
      <alignment horizontal="center" vertical="top" shrinkToFit="1"/>
    </xf>
    <xf numFmtId="165" fontId="8" fillId="0" borderId="6" xfId="0" applyNumberFormat="1" applyFont="1" applyFill="1" applyBorder="1" applyAlignment="1">
      <alignment horizontal="right" vertical="top" shrinkToFit="1"/>
    </xf>
    <xf numFmtId="0" fontId="0" fillId="4" borderId="10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wrapText="1"/>
    </xf>
    <xf numFmtId="165" fontId="10" fillId="0" borderId="6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center" vertical="top" wrapText="1"/>
    </xf>
    <xf numFmtId="9" fontId="11" fillId="0" borderId="6" xfId="0" applyNumberFormat="1" applyFont="1" applyFill="1" applyBorder="1" applyAlignment="1">
      <alignment horizontal="center" vertical="top" shrinkToFit="1"/>
    </xf>
    <xf numFmtId="9" fontId="12" fillId="0" borderId="6" xfId="0" applyNumberFormat="1" applyFont="1" applyFill="1" applyBorder="1" applyAlignment="1">
      <alignment horizontal="center" vertical="top" shrinkToFit="1"/>
    </xf>
    <xf numFmtId="166" fontId="12" fillId="0" borderId="6" xfId="0" applyNumberFormat="1" applyFont="1" applyFill="1" applyBorder="1" applyAlignment="1">
      <alignment horizontal="center" vertical="top" shrinkToFit="1"/>
    </xf>
    <xf numFmtId="0" fontId="0" fillId="4" borderId="7" xfId="0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 indent="3"/>
    </xf>
    <xf numFmtId="0" fontId="5" fillId="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left" vertical="top" wrapText="1" indent="2"/>
    </xf>
    <xf numFmtId="165" fontId="12" fillId="0" borderId="6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right" vertical="top" wrapText="1" indent="6"/>
    </xf>
    <xf numFmtId="0" fontId="3" fillId="0" borderId="0" xfId="0" applyFont="1" applyFill="1" applyBorder="1" applyAlignment="1">
      <alignment horizontal="right" vertical="top" wrapText="1"/>
    </xf>
    <xf numFmtId="164" fontId="4" fillId="3" borderId="0" xfId="0" applyNumberFormat="1" applyFont="1" applyFill="1" applyBorder="1" applyAlignment="1">
      <alignment horizontal="left" vertical="top" indent="5" shrinkToFi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1" fontId="6" fillId="2" borderId="7" xfId="0" applyNumberFormat="1" applyFont="1" applyFill="1" applyBorder="1" applyAlignment="1">
      <alignment horizontal="left" vertical="top" indent="2" shrinkToFit="1"/>
    </xf>
    <xf numFmtId="1" fontId="6" fillId="2" borderId="8" xfId="0" applyNumberFormat="1" applyFont="1" applyFill="1" applyBorder="1" applyAlignment="1">
      <alignment horizontal="left" vertical="top" indent="2" shrinkToFi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165" fontId="8" fillId="0" borderId="7" xfId="0" applyNumberFormat="1" applyFont="1" applyFill="1" applyBorder="1" applyAlignment="1">
      <alignment horizontal="left" vertical="top" indent="2" shrinkToFit="1"/>
    </xf>
    <xf numFmtId="165" fontId="8" fillId="0" borderId="8" xfId="0" applyNumberFormat="1" applyFont="1" applyFill="1" applyBorder="1" applyAlignment="1">
      <alignment horizontal="left" vertical="top" indent="2" shrinkToFit="1"/>
    </xf>
    <xf numFmtId="0" fontId="3" fillId="4" borderId="7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 indent="1"/>
    </xf>
    <xf numFmtId="0" fontId="2" fillId="4" borderId="11" xfId="0" applyFont="1" applyFill="1" applyBorder="1" applyAlignment="1">
      <alignment horizontal="left" vertical="top" wrapText="1" indent="1"/>
    </xf>
    <xf numFmtId="0" fontId="0" fillId="4" borderId="1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 indent="3"/>
    </xf>
    <xf numFmtId="0" fontId="1" fillId="4" borderId="8" xfId="0" applyFont="1" applyFill="1" applyBorder="1" applyAlignment="1">
      <alignment horizontal="left" vertical="top" wrapText="1" indent="3"/>
    </xf>
    <xf numFmtId="0" fontId="9" fillId="0" borderId="7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3" fontId="15" fillId="0" borderId="7" xfId="0" applyNumberFormat="1" applyFont="1" applyFill="1" applyBorder="1" applyAlignment="1">
      <alignment horizontal="left" vertical="top" shrinkToFit="1"/>
    </xf>
    <xf numFmtId="3" fontId="15" fillId="0" borderId="9" xfId="0" applyNumberFormat="1" applyFont="1" applyFill="1" applyBorder="1" applyAlignment="1">
      <alignment horizontal="left" vertical="top" shrinkToFit="1"/>
    </xf>
    <xf numFmtId="3" fontId="15" fillId="0" borderId="8" xfId="0" applyNumberFormat="1" applyFont="1" applyFill="1" applyBorder="1" applyAlignment="1">
      <alignment horizontal="left" vertical="top" shrinkToFit="1"/>
    </xf>
    <xf numFmtId="0" fontId="0" fillId="0" borderId="0" xfId="0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234695</xdr:colOff>
      <xdr:row>28</xdr:row>
      <xdr:rowOff>184149</xdr:rowOff>
    </xdr:from>
    <xdr:ext cx="6243955" cy="848994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695" y="6394449"/>
          <a:ext cx="6243955" cy="848994"/>
          <a:chOff x="0" y="0"/>
          <a:chExt cx="6243955" cy="848994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761" y="889"/>
            <a:ext cx="5632450" cy="0"/>
          </a:xfrm>
          <a:custGeom>
            <a:avLst/>
            <a:gdLst/>
            <a:ahLst/>
            <a:cxnLst/>
            <a:rect l="0" t="0" r="0" b="0"/>
            <a:pathLst>
              <a:path w="5632450">
                <a:moveTo>
                  <a:pt x="0" y="0"/>
                </a:moveTo>
                <a:lnTo>
                  <a:pt x="563245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26"/>
            <a:ext cx="5634355" cy="12700"/>
          </a:xfrm>
          <a:custGeom>
            <a:avLst/>
            <a:gdLst/>
            <a:ahLst/>
            <a:cxnLst/>
            <a:rect l="0" t="0" r="0" b="0"/>
            <a:pathLst>
              <a:path w="5634355" h="12700">
                <a:moveTo>
                  <a:pt x="5633974" y="0"/>
                </a:moveTo>
                <a:lnTo>
                  <a:pt x="0" y="0"/>
                </a:lnTo>
                <a:lnTo>
                  <a:pt x="0" y="12192"/>
                </a:lnTo>
                <a:lnTo>
                  <a:pt x="5633974" y="12192"/>
                </a:lnTo>
                <a:lnTo>
                  <a:pt x="5633974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5" name="image1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16" y="114"/>
            <a:ext cx="6230112" cy="848753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228472</xdr:colOff>
      <xdr:row>28</xdr:row>
      <xdr:rowOff>0</xdr:rowOff>
    </xdr:from>
    <xdr:ext cx="12700" cy="178435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28472" y="6953250"/>
          <a:ext cx="12700" cy="178435"/>
          <a:chOff x="0" y="0"/>
          <a:chExt cx="12700" cy="178435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889" y="761"/>
            <a:ext cx="0" cy="177165"/>
          </a:xfrm>
          <a:custGeom>
            <a:avLst/>
            <a:gdLst/>
            <a:ahLst/>
            <a:cxnLst/>
            <a:rect l="0" t="0" r="0" b="0"/>
            <a:pathLst>
              <a:path h="177165">
                <a:moveTo>
                  <a:pt x="0" y="0"/>
                </a:moveTo>
                <a:lnTo>
                  <a:pt x="0" y="17678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126" y="0"/>
            <a:ext cx="12700" cy="178435"/>
          </a:xfrm>
          <a:custGeom>
            <a:avLst/>
            <a:gdLst/>
            <a:ahLst/>
            <a:cxnLst/>
            <a:rect l="0" t="0" r="0" b="0"/>
            <a:pathLst>
              <a:path w="12700" h="178435">
                <a:moveTo>
                  <a:pt x="12192" y="0"/>
                </a:moveTo>
                <a:lnTo>
                  <a:pt x="0" y="0"/>
                </a:lnTo>
                <a:lnTo>
                  <a:pt x="0" y="178307"/>
                </a:lnTo>
                <a:lnTo>
                  <a:pt x="12192" y="178307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xt\tariff\air\SWISS%20OHR%20(2).xlsx" TargetMode="External"/><Relationship Id="rId1" Type="http://schemas.openxmlformats.org/officeDocument/2006/relationships/externalLinkPath" Target="/next/tariff/air/SWISS%20OH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ulta1"/>
      <sheetName val="Hoja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emma.aleman@avian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A4" sqref="A4:L4"/>
    </sheetView>
  </sheetViews>
  <sheetFormatPr baseColWidth="10" defaultColWidth="9.33203125" defaultRowHeight="12.75"/>
  <cols>
    <col min="1" max="1" width="16.5" customWidth="1"/>
    <col min="2" max="2" width="1.1640625" customWidth="1"/>
    <col min="3" max="3" width="24.6640625" customWidth="1"/>
    <col min="4" max="4" width="14.83203125" customWidth="1"/>
    <col min="5" max="5" width="11.33203125" customWidth="1"/>
    <col min="6" max="6" width="11.5" customWidth="1"/>
    <col min="7" max="7" width="11.33203125" customWidth="1"/>
    <col min="8" max="8" width="4" customWidth="1"/>
    <col min="9" max="9" width="7.1640625" customWidth="1"/>
    <col min="10" max="10" width="11.33203125" customWidth="1"/>
    <col min="11" max="11" width="11.5" customWidth="1"/>
    <col min="12" max="12" width="2.83203125" customWidth="1"/>
    <col min="13" max="13" width="1.1640625" customWidth="1"/>
  </cols>
  <sheetData>
    <row r="1" spans="1:13" ht="16.5" customHeight="1">
      <c r="A1" s="1" t="s">
        <v>0</v>
      </c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</row>
    <row r="2" spans="1:13" ht="16.5" customHeight="1">
      <c r="A2" s="2" t="s">
        <v>2</v>
      </c>
      <c r="B2" s="29" t="s">
        <v>3</v>
      </c>
      <c r="C2" s="29"/>
      <c r="D2" s="29"/>
      <c r="E2" s="29"/>
      <c r="F2" s="29"/>
      <c r="G2" s="29"/>
      <c r="H2" s="29"/>
      <c r="I2" s="29"/>
      <c r="J2" s="29"/>
      <c r="K2" s="29"/>
    </row>
    <row r="3" spans="1:13" ht="16.5" customHeight="1">
      <c r="A3" s="3" t="s">
        <v>4</v>
      </c>
      <c r="B3" s="30" t="s">
        <v>5</v>
      </c>
      <c r="C3" s="30"/>
      <c r="D3" s="30"/>
      <c r="E3" s="30"/>
      <c r="F3" s="30"/>
      <c r="G3" s="30"/>
      <c r="H3" s="30"/>
      <c r="I3" s="30"/>
      <c r="J3" s="30"/>
      <c r="K3" s="30"/>
    </row>
    <row r="4" spans="1:13" ht="20.25" customHeight="1">
      <c r="A4" s="31" t="s">
        <v>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ht="20.25" customHeight="1">
      <c r="A5" s="32" t="s">
        <v>7</v>
      </c>
      <c r="B5" s="32"/>
      <c r="C5" s="32"/>
      <c r="D5" s="32"/>
      <c r="E5" s="32"/>
      <c r="F5" s="32"/>
      <c r="G5" s="32"/>
      <c r="H5" s="32"/>
      <c r="I5" s="33">
        <v>45992</v>
      </c>
      <c r="J5" s="33"/>
      <c r="K5" s="33"/>
      <c r="L5" s="33"/>
      <c r="M5" s="33"/>
    </row>
    <row r="6" spans="1:13" ht="36" customHeight="1">
      <c r="A6" s="34" t="s">
        <v>8</v>
      </c>
      <c r="B6" s="35"/>
      <c r="C6" s="5" t="s">
        <v>9</v>
      </c>
      <c r="D6" s="5" t="s">
        <v>10</v>
      </c>
      <c r="E6" s="4" t="s">
        <v>11</v>
      </c>
      <c r="F6" s="6">
        <v>-100</v>
      </c>
      <c r="G6" s="7">
        <v>100</v>
      </c>
      <c r="H6" s="36">
        <v>300</v>
      </c>
      <c r="I6" s="37"/>
      <c r="J6" s="8">
        <v>500</v>
      </c>
      <c r="K6" s="4" t="s">
        <v>12</v>
      </c>
    </row>
    <row r="7" spans="1:13" ht="16.5" customHeight="1">
      <c r="A7" s="38" t="s">
        <v>13</v>
      </c>
      <c r="B7" s="39"/>
      <c r="C7" s="9" t="s">
        <v>14</v>
      </c>
      <c r="D7" s="9" t="s">
        <v>15</v>
      </c>
      <c r="E7" s="10">
        <v>100</v>
      </c>
      <c r="F7" s="11">
        <v>7.31</v>
      </c>
      <c r="G7" s="11">
        <v>5.59</v>
      </c>
      <c r="H7" s="40">
        <v>4.7300000000000004</v>
      </c>
      <c r="I7" s="41"/>
      <c r="J7" s="10">
        <v>4.3</v>
      </c>
      <c r="K7" s="10">
        <v>0.3</v>
      </c>
    </row>
    <row r="8" spans="1:13" ht="16.5" customHeight="1">
      <c r="A8" s="38" t="s">
        <v>16</v>
      </c>
      <c r="B8" s="39"/>
      <c r="C8" s="9" t="s">
        <v>17</v>
      </c>
      <c r="D8" s="9" t="s">
        <v>15</v>
      </c>
      <c r="E8" s="10">
        <v>100</v>
      </c>
      <c r="F8" s="11">
        <v>6.46</v>
      </c>
      <c r="G8" s="11">
        <v>4.9400000000000004</v>
      </c>
      <c r="H8" s="40">
        <v>4.18</v>
      </c>
      <c r="I8" s="41"/>
      <c r="J8" s="10">
        <v>3.8</v>
      </c>
      <c r="K8" s="10">
        <v>0.3</v>
      </c>
    </row>
    <row r="9" spans="1:13" ht="16.5" customHeight="1">
      <c r="A9" s="38" t="s">
        <v>18</v>
      </c>
      <c r="B9" s="39"/>
      <c r="C9" s="9" t="s">
        <v>19</v>
      </c>
      <c r="D9" s="9" t="s">
        <v>15</v>
      </c>
      <c r="E9" s="10">
        <v>100</v>
      </c>
      <c r="F9" s="11">
        <v>2.21</v>
      </c>
      <c r="G9" s="11">
        <v>1.69</v>
      </c>
      <c r="H9" s="40">
        <v>1.43</v>
      </c>
      <c r="I9" s="41"/>
      <c r="J9" s="10">
        <v>1.3</v>
      </c>
      <c r="K9" s="10">
        <v>0</v>
      </c>
    </row>
    <row r="10" spans="1:13" ht="16.5" customHeight="1">
      <c r="A10" s="38" t="s">
        <v>20</v>
      </c>
      <c r="B10" s="39"/>
      <c r="C10" s="9" t="s">
        <v>21</v>
      </c>
      <c r="D10" s="9" t="s">
        <v>15</v>
      </c>
      <c r="E10" s="10">
        <v>100</v>
      </c>
      <c r="F10" s="11">
        <v>2.04</v>
      </c>
      <c r="G10" s="11">
        <v>1.56</v>
      </c>
      <c r="H10" s="40">
        <v>1.32</v>
      </c>
      <c r="I10" s="41"/>
      <c r="J10" s="10">
        <v>1.2</v>
      </c>
      <c r="K10" s="10">
        <v>0</v>
      </c>
    </row>
    <row r="11" spans="1:13" ht="16.5" customHeight="1">
      <c r="A11" s="38" t="s">
        <v>22</v>
      </c>
      <c r="B11" s="39"/>
      <c r="C11" s="9" t="s">
        <v>23</v>
      </c>
      <c r="D11" s="9" t="s">
        <v>15</v>
      </c>
      <c r="E11" s="10">
        <v>100</v>
      </c>
      <c r="F11" s="11">
        <v>2.21</v>
      </c>
      <c r="G11" s="11">
        <v>1.69</v>
      </c>
      <c r="H11" s="40">
        <v>1.43</v>
      </c>
      <c r="I11" s="41"/>
      <c r="J11" s="10">
        <v>1.3</v>
      </c>
      <c r="K11" s="10">
        <v>0</v>
      </c>
    </row>
    <row r="12" spans="1:13" ht="16.5" customHeight="1">
      <c r="A12" s="38" t="s">
        <v>24</v>
      </c>
      <c r="B12" s="39"/>
      <c r="C12" s="9" t="s">
        <v>25</v>
      </c>
      <c r="D12" s="9" t="s">
        <v>15</v>
      </c>
      <c r="E12" s="10">
        <v>100</v>
      </c>
      <c r="F12" s="11">
        <v>5.78</v>
      </c>
      <c r="G12" s="11">
        <v>4.42</v>
      </c>
      <c r="H12" s="40">
        <v>3.74</v>
      </c>
      <c r="I12" s="41"/>
      <c r="J12" s="10">
        <v>3.4</v>
      </c>
      <c r="K12" s="10">
        <v>0.3</v>
      </c>
    </row>
    <row r="13" spans="1:13" ht="16.5" customHeight="1">
      <c r="A13" s="38" t="s">
        <v>26</v>
      </c>
      <c r="B13" s="39"/>
      <c r="C13" s="9" t="s">
        <v>27</v>
      </c>
      <c r="D13" s="9" t="s">
        <v>15</v>
      </c>
      <c r="E13" s="10">
        <v>100</v>
      </c>
      <c r="F13" s="11">
        <v>4.76</v>
      </c>
      <c r="G13" s="11">
        <v>3.64</v>
      </c>
      <c r="H13" s="40">
        <v>3.08</v>
      </c>
      <c r="I13" s="41"/>
      <c r="J13" s="10">
        <v>2.8</v>
      </c>
      <c r="K13" s="10">
        <v>0.3</v>
      </c>
    </row>
    <row r="14" spans="1:13" ht="16.5" customHeight="1">
      <c r="A14" s="38" t="s">
        <v>28</v>
      </c>
      <c r="B14" s="39"/>
      <c r="C14" s="9" t="s">
        <v>29</v>
      </c>
      <c r="D14" s="9" t="s">
        <v>15</v>
      </c>
      <c r="E14" s="10">
        <v>100</v>
      </c>
      <c r="F14" s="11">
        <v>5.44</v>
      </c>
      <c r="G14" s="11">
        <v>4.16</v>
      </c>
      <c r="H14" s="40">
        <v>3.52</v>
      </c>
      <c r="I14" s="41"/>
      <c r="J14" s="10">
        <v>3.2</v>
      </c>
      <c r="K14" s="10">
        <v>0.3</v>
      </c>
    </row>
    <row r="15" spans="1:13" ht="16.5" customHeight="1">
      <c r="A15" s="38" t="s">
        <v>30</v>
      </c>
      <c r="B15" s="39"/>
      <c r="C15" s="9" t="s">
        <v>31</v>
      </c>
      <c r="D15" s="9" t="s">
        <v>15</v>
      </c>
      <c r="E15" s="10">
        <v>100</v>
      </c>
      <c r="F15" s="11">
        <v>8.33</v>
      </c>
      <c r="G15" s="11">
        <v>6.37</v>
      </c>
      <c r="H15" s="40">
        <v>5.39</v>
      </c>
      <c r="I15" s="41"/>
      <c r="J15" s="10">
        <v>4.9000000000000004</v>
      </c>
      <c r="K15" s="10">
        <v>0.3</v>
      </c>
    </row>
    <row r="16" spans="1:13" ht="16.5" customHeight="1">
      <c r="A16" s="38" t="s">
        <v>32</v>
      </c>
      <c r="B16" s="39"/>
      <c r="C16" s="9" t="s">
        <v>33</v>
      </c>
      <c r="D16" s="9" t="s">
        <v>15</v>
      </c>
      <c r="E16" s="10">
        <v>100</v>
      </c>
      <c r="F16" s="11">
        <v>3.91</v>
      </c>
      <c r="G16" s="11">
        <v>2.99</v>
      </c>
      <c r="H16" s="40">
        <v>2.5299999999999998</v>
      </c>
      <c r="I16" s="41"/>
      <c r="J16" s="10">
        <v>2.2999999999999998</v>
      </c>
      <c r="K16" s="10">
        <v>0.3</v>
      </c>
    </row>
    <row r="17" spans="1:11" ht="16.5" customHeight="1">
      <c r="A17" s="38" t="s">
        <v>34</v>
      </c>
      <c r="B17" s="39"/>
      <c r="C17" s="9" t="s">
        <v>35</v>
      </c>
      <c r="D17" s="9" t="s">
        <v>15</v>
      </c>
      <c r="E17" s="10">
        <v>100</v>
      </c>
      <c r="F17" s="11">
        <v>2.62</v>
      </c>
      <c r="G17" s="11">
        <v>2</v>
      </c>
      <c r="H17" s="40">
        <v>1.69</v>
      </c>
      <c r="I17" s="41"/>
      <c r="J17" s="10">
        <v>1.54</v>
      </c>
      <c r="K17" s="10">
        <v>0.09</v>
      </c>
    </row>
    <row r="18" spans="1:11" ht="16.5" customHeight="1">
      <c r="A18" s="38" t="s">
        <v>36</v>
      </c>
      <c r="B18" s="39"/>
      <c r="C18" s="9" t="s">
        <v>37</v>
      </c>
      <c r="D18" s="9" t="s">
        <v>15</v>
      </c>
      <c r="E18" s="10">
        <v>100</v>
      </c>
      <c r="F18" s="11">
        <v>2.72</v>
      </c>
      <c r="G18" s="11">
        <v>2.08</v>
      </c>
      <c r="H18" s="40">
        <v>1.76</v>
      </c>
      <c r="I18" s="41"/>
      <c r="J18" s="10">
        <v>1.6</v>
      </c>
      <c r="K18" s="10">
        <v>0</v>
      </c>
    </row>
    <row r="19" spans="1:11" ht="16.5" customHeight="1">
      <c r="A19" s="38" t="s">
        <v>38</v>
      </c>
      <c r="B19" s="39"/>
      <c r="C19" s="9" t="s">
        <v>39</v>
      </c>
      <c r="D19" s="9" t="s">
        <v>15</v>
      </c>
      <c r="E19" s="10">
        <v>100</v>
      </c>
      <c r="F19" s="11">
        <v>2.72</v>
      </c>
      <c r="G19" s="11">
        <v>2.08</v>
      </c>
      <c r="H19" s="40">
        <v>1.76</v>
      </c>
      <c r="I19" s="41"/>
      <c r="J19" s="10">
        <v>1.6</v>
      </c>
      <c r="K19" s="10">
        <v>0.15</v>
      </c>
    </row>
    <row r="20" spans="1:11" ht="16.5" customHeight="1">
      <c r="A20" s="38" t="s">
        <v>40</v>
      </c>
      <c r="B20" s="39"/>
      <c r="C20" s="9" t="s">
        <v>41</v>
      </c>
      <c r="D20" s="9" t="s">
        <v>15</v>
      </c>
      <c r="E20" s="10">
        <v>100</v>
      </c>
      <c r="F20" s="11">
        <v>1.62</v>
      </c>
      <c r="G20" s="11">
        <v>1.24</v>
      </c>
      <c r="H20" s="40">
        <v>1.05</v>
      </c>
      <c r="I20" s="41"/>
      <c r="J20" s="10">
        <v>0.95</v>
      </c>
      <c r="K20" s="10">
        <v>0</v>
      </c>
    </row>
    <row r="21" spans="1:11" ht="16.5" customHeight="1">
      <c r="A21" s="38" t="s">
        <v>42</v>
      </c>
      <c r="B21" s="39"/>
      <c r="C21" s="9" t="s">
        <v>43</v>
      </c>
      <c r="D21" s="9" t="s">
        <v>15</v>
      </c>
      <c r="E21" s="10">
        <v>100</v>
      </c>
      <c r="F21" s="11">
        <v>6.46</v>
      </c>
      <c r="G21" s="11">
        <v>4.9400000000000004</v>
      </c>
      <c r="H21" s="40">
        <v>4.18</v>
      </c>
      <c r="I21" s="41"/>
      <c r="J21" s="10">
        <v>3.8</v>
      </c>
      <c r="K21" s="10">
        <v>0.3</v>
      </c>
    </row>
    <row r="22" spans="1:11" ht="16.5" customHeight="1">
      <c r="A22" s="38" t="s">
        <v>44</v>
      </c>
      <c r="B22" s="39"/>
      <c r="C22" s="9" t="s">
        <v>45</v>
      </c>
      <c r="D22" s="9" t="s">
        <v>15</v>
      </c>
      <c r="E22" s="10">
        <v>100</v>
      </c>
      <c r="F22" s="11">
        <v>2.4500000000000002</v>
      </c>
      <c r="G22" s="11">
        <v>1.87</v>
      </c>
      <c r="H22" s="40">
        <v>1.58</v>
      </c>
      <c r="I22" s="41"/>
      <c r="J22" s="10">
        <v>1.44</v>
      </c>
      <c r="K22" s="10">
        <v>0.09</v>
      </c>
    </row>
    <row r="23" spans="1:11" ht="16.5" customHeight="1">
      <c r="A23" s="38" t="s">
        <v>46</v>
      </c>
      <c r="B23" s="39"/>
      <c r="C23" s="9" t="s">
        <v>47</v>
      </c>
      <c r="D23" s="9" t="s">
        <v>15</v>
      </c>
      <c r="E23" s="10">
        <v>100</v>
      </c>
      <c r="F23" s="11">
        <v>2.62</v>
      </c>
      <c r="G23" s="11">
        <v>2</v>
      </c>
      <c r="H23" s="40">
        <v>1.69</v>
      </c>
      <c r="I23" s="41"/>
      <c r="J23" s="10">
        <v>1.54</v>
      </c>
      <c r="K23" s="10">
        <v>0.09</v>
      </c>
    </row>
    <row r="24" spans="1:11" ht="16.5" customHeight="1">
      <c r="A24" s="38" t="s">
        <v>48</v>
      </c>
      <c r="B24" s="39"/>
      <c r="C24" s="9" t="s">
        <v>49</v>
      </c>
      <c r="D24" s="9" t="s">
        <v>15</v>
      </c>
      <c r="E24" s="10">
        <v>100</v>
      </c>
      <c r="F24" s="11">
        <v>2.5499999999999998</v>
      </c>
      <c r="G24" s="11">
        <v>1.95</v>
      </c>
      <c r="H24" s="40">
        <v>1.65</v>
      </c>
      <c r="I24" s="41"/>
      <c r="J24" s="10">
        <v>1.5</v>
      </c>
      <c r="K24" s="10">
        <v>0.09</v>
      </c>
    </row>
    <row r="25" spans="1:11" ht="16.5" customHeight="1">
      <c r="A25" s="38" t="s">
        <v>50</v>
      </c>
      <c r="B25" s="39"/>
      <c r="C25" s="9" t="s">
        <v>51</v>
      </c>
      <c r="D25" s="9" t="s">
        <v>15</v>
      </c>
      <c r="E25" s="10">
        <v>100</v>
      </c>
      <c r="F25" s="11">
        <v>4.76</v>
      </c>
      <c r="G25" s="11">
        <v>3.64</v>
      </c>
      <c r="H25" s="40">
        <v>3.08</v>
      </c>
      <c r="I25" s="41"/>
      <c r="J25" s="10">
        <v>2.8</v>
      </c>
      <c r="K25" s="10">
        <v>0.3</v>
      </c>
    </row>
    <row r="26" spans="1:11" ht="16.5" customHeight="1">
      <c r="A26" s="38" t="s">
        <v>52</v>
      </c>
      <c r="B26" s="39"/>
      <c r="C26" s="9" t="s">
        <v>53</v>
      </c>
      <c r="D26" s="9" t="s">
        <v>15</v>
      </c>
      <c r="E26" s="10">
        <v>100</v>
      </c>
      <c r="F26" s="11">
        <v>2.62</v>
      </c>
      <c r="G26" s="11">
        <v>2</v>
      </c>
      <c r="H26" s="40">
        <v>1.69</v>
      </c>
      <c r="I26" s="41"/>
      <c r="J26" s="10">
        <v>1.54</v>
      </c>
      <c r="K26" s="10">
        <v>0.09</v>
      </c>
    </row>
    <row r="27" spans="1:11" ht="16.5" customHeight="1">
      <c r="A27" s="38" t="s">
        <v>54</v>
      </c>
      <c r="B27" s="39"/>
      <c r="C27" s="9" t="s">
        <v>55</v>
      </c>
      <c r="D27" s="9" t="s">
        <v>15</v>
      </c>
      <c r="E27" s="10">
        <v>100</v>
      </c>
      <c r="F27" s="11">
        <v>1.7</v>
      </c>
      <c r="G27" s="11">
        <v>1.3</v>
      </c>
      <c r="H27" s="40">
        <v>1.1000000000000001</v>
      </c>
      <c r="I27" s="41"/>
      <c r="J27" s="10">
        <v>1</v>
      </c>
      <c r="K27" s="10">
        <v>0</v>
      </c>
    </row>
    <row r="28" spans="1:11" ht="16.5" customHeight="1">
      <c r="A28" s="38" t="s">
        <v>56</v>
      </c>
      <c r="B28" s="39"/>
      <c r="C28" s="9" t="s">
        <v>57</v>
      </c>
      <c r="D28" s="9" t="s">
        <v>15</v>
      </c>
      <c r="E28" s="10">
        <v>100</v>
      </c>
      <c r="F28" s="11">
        <v>4.08</v>
      </c>
      <c r="G28" s="11">
        <v>3.12</v>
      </c>
      <c r="H28" s="40">
        <v>2.64</v>
      </c>
      <c r="I28" s="41"/>
      <c r="J28" s="10">
        <v>2.4</v>
      </c>
      <c r="K28" s="10">
        <v>0.3</v>
      </c>
    </row>
    <row r="29" spans="1:11" ht="16.5" customHeight="1">
      <c r="A29" s="38" t="s">
        <v>58</v>
      </c>
      <c r="B29" s="39"/>
      <c r="C29" s="9" t="s">
        <v>59</v>
      </c>
      <c r="D29" s="9" t="s">
        <v>15</v>
      </c>
      <c r="E29" s="10">
        <v>100</v>
      </c>
      <c r="F29" s="11">
        <v>7.65</v>
      </c>
      <c r="G29" s="11">
        <v>5.85</v>
      </c>
      <c r="H29" s="40">
        <v>4.95</v>
      </c>
      <c r="I29" s="41"/>
      <c r="J29" s="10">
        <v>4.5</v>
      </c>
      <c r="K29" s="10">
        <v>0.3</v>
      </c>
    </row>
    <row r="30" spans="1:11" ht="66.95" customHeight="1"/>
    <row r="31" spans="1:11" ht="20.25" customHeight="1">
      <c r="A31" s="42" t="s">
        <v>60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spans="1:11" ht="52.5" customHeight="1">
      <c r="A32" s="44" t="s">
        <v>61</v>
      </c>
      <c r="B32" s="45"/>
      <c r="C32" s="12"/>
      <c r="D32" s="12"/>
      <c r="E32" s="13" t="s">
        <v>62</v>
      </c>
      <c r="F32" s="14" t="s">
        <v>63</v>
      </c>
      <c r="G32" s="12"/>
      <c r="H32" s="46"/>
      <c r="I32" s="47"/>
      <c r="J32" s="48" t="s">
        <v>64</v>
      </c>
      <c r="K32" s="49"/>
    </row>
  </sheetData>
  <mergeCells count="58">
    <mergeCell ref="A29:B29"/>
    <mergeCell ref="H29:I29"/>
    <mergeCell ref="A31:K31"/>
    <mergeCell ref="A32:B32"/>
    <mergeCell ref="H32:I32"/>
    <mergeCell ref="J32:K32"/>
    <mergeCell ref="A26:B26"/>
    <mergeCell ref="H26:I26"/>
    <mergeCell ref="A27:B27"/>
    <mergeCell ref="H27:I27"/>
    <mergeCell ref="A28:B28"/>
    <mergeCell ref="H28:I28"/>
    <mergeCell ref="A23:B23"/>
    <mergeCell ref="H23:I23"/>
    <mergeCell ref="A24:B24"/>
    <mergeCell ref="H24:I24"/>
    <mergeCell ref="A25:B25"/>
    <mergeCell ref="H25:I25"/>
    <mergeCell ref="A20:B20"/>
    <mergeCell ref="H20:I20"/>
    <mergeCell ref="A21:B21"/>
    <mergeCell ref="H21:I21"/>
    <mergeCell ref="A22:B22"/>
    <mergeCell ref="H22:I22"/>
    <mergeCell ref="A17:B17"/>
    <mergeCell ref="H17:I17"/>
    <mergeCell ref="A18:B18"/>
    <mergeCell ref="H18:I18"/>
    <mergeCell ref="A19:B19"/>
    <mergeCell ref="H19:I19"/>
    <mergeCell ref="A14:B14"/>
    <mergeCell ref="H14:I14"/>
    <mergeCell ref="A15:B15"/>
    <mergeCell ref="H15:I15"/>
    <mergeCell ref="A16:B16"/>
    <mergeCell ref="H16:I16"/>
    <mergeCell ref="A11:B11"/>
    <mergeCell ref="H11:I11"/>
    <mergeCell ref="A12:B12"/>
    <mergeCell ref="H12:I12"/>
    <mergeCell ref="A13:B13"/>
    <mergeCell ref="H13:I13"/>
    <mergeCell ref="A8:B8"/>
    <mergeCell ref="H8:I8"/>
    <mergeCell ref="A9:B9"/>
    <mergeCell ref="H9:I9"/>
    <mergeCell ref="A10:B10"/>
    <mergeCell ref="H10:I10"/>
    <mergeCell ref="A6:B6"/>
    <mergeCell ref="H6:I6"/>
    <mergeCell ref="A7:B7"/>
    <mergeCell ref="H7:I7"/>
    <mergeCell ref="B1:K1"/>
    <mergeCell ref="B2:K2"/>
    <mergeCell ref="B3:K3"/>
    <mergeCell ref="A4:L4"/>
    <mergeCell ref="A5:H5"/>
    <mergeCell ref="I5:M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5979-2D82-499A-8D4F-B5E93888529F}">
  <dimension ref="A1:P24"/>
  <sheetViews>
    <sheetView tabSelected="1" workbookViewId="0">
      <selection activeCell="O2" sqref="O2:O24"/>
    </sheetView>
  </sheetViews>
  <sheetFormatPr baseColWidth="10" defaultRowHeight="12.75"/>
  <sheetData>
    <row r="1" spans="1:16">
      <c r="B1" t="s">
        <v>106</v>
      </c>
      <c r="D1" t="s">
        <v>107</v>
      </c>
      <c r="E1" t="s">
        <v>108</v>
      </c>
      <c r="F1" t="s">
        <v>132</v>
      </c>
      <c r="G1">
        <v>45</v>
      </c>
      <c r="H1">
        <v>100</v>
      </c>
      <c r="I1">
        <v>300</v>
      </c>
      <c r="J1">
        <v>500</v>
      </c>
      <c r="K1">
        <v>1000</v>
      </c>
      <c r="L1" s="81" t="s">
        <v>134</v>
      </c>
      <c r="M1" s="81" t="s">
        <v>135</v>
      </c>
      <c r="N1" s="81" t="s">
        <v>136</v>
      </c>
      <c r="O1" s="81" t="s">
        <v>137</v>
      </c>
      <c r="P1" s="81" t="s">
        <v>138</v>
      </c>
    </row>
    <row r="2" spans="1:16">
      <c r="A2" t="s">
        <v>133</v>
      </c>
      <c r="B2" t="s">
        <v>109</v>
      </c>
      <c r="C2" s="82">
        <f>VLOOKUP(B2,[1]!Consulta1[#All],2,FALSE)</f>
        <v>50928</v>
      </c>
      <c r="D2">
        <v>4</v>
      </c>
      <c r="E2">
        <v>100</v>
      </c>
      <c r="F2">
        <v>7.31</v>
      </c>
      <c r="G2">
        <v>7.31</v>
      </c>
      <c r="H2">
        <v>5.59</v>
      </c>
      <c r="I2">
        <v>4.7300000000000004</v>
      </c>
      <c r="J2">
        <v>4.3</v>
      </c>
      <c r="K2">
        <v>4.3</v>
      </c>
      <c r="L2" s="81" t="s">
        <v>139</v>
      </c>
      <c r="M2" s="82">
        <f>VLOOKUP(A2,[1]!Consulta1[#All],2,FALSE)</f>
        <v>428</v>
      </c>
      <c r="N2" s="81"/>
      <c r="O2" s="82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('",M2,"','",C2,"','3081','3081','",D2,"','",E2,"','",F2,"','",$L$2,"',1,1,3,'",G2,"','",H2,"','",I2,"','",J2,"','",K2,"','2025-12-31',now(),now(),1,'",P2,"','0');")</f>
        <v>insert tariffs (origin_id,destin_id,provider_id,airline_id,comodity_id,min,n,comments,active,user_id,type_tariff,forty_five_more,hundred_more,three_hundred_more,five_hundred_more,thousand_more,f_end,created_at,updated_at,airchaft,cost, offer) values ('428','50928','3081','3081','4','100','7.31','&lt;p&gt;ALLIN&lt;/p&gt;',1,1,3,'7.31','5.59','4.73','4.3','4.3','2025-12-31',now(),now(),1,'0','0');</v>
      </c>
      <c r="P2" s="81">
        <v>0</v>
      </c>
    </row>
    <row r="3" spans="1:16">
      <c r="A3" t="s">
        <v>133</v>
      </c>
      <c r="B3" t="s">
        <v>110</v>
      </c>
      <c r="C3" s="82">
        <f>VLOOKUP(B3,[1]!Consulta1[#All],2,FALSE)</f>
        <v>39768</v>
      </c>
      <c r="D3">
        <v>4</v>
      </c>
      <c r="E3">
        <v>100</v>
      </c>
      <c r="F3">
        <v>6.46</v>
      </c>
      <c r="G3">
        <v>6.46</v>
      </c>
      <c r="H3">
        <v>4.9400000000000004</v>
      </c>
      <c r="I3">
        <v>4.18</v>
      </c>
      <c r="J3">
        <v>3.8</v>
      </c>
      <c r="K3">
        <v>3.8</v>
      </c>
      <c r="M3" s="82">
        <f>VLOOKUP(A3,[1]!Consulta1[#All],2,FALSE)</f>
        <v>428</v>
      </c>
      <c r="O3" s="82" t="str">
        <f t="shared" ref="O3:O24" si="0">CONCATENATE("insert tariffs (origin_id,destin_id,provider_id,airline_id,comodity_id,min,n,comments,active,user_id,type_tariff,forty_five_more,hundred_more,three_hundred_more,five_hundred_more,thousand_more,f_end,created_at,updated_at,airchaft,cost, offer) values ('",M3,"','",C3,"','3081','3081','",D3,"','",E3,"','",F3,"','",$L$2,"',1,1,3,'",G3,"','",H3,"','",I3,"','",J3,"','",K3,"','2025-12-31',now(),now(),1,'",P3,"','0');")</f>
        <v>insert tariffs (origin_id,destin_id,provider_id,airline_id,comodity_id,min,n,comments,active,user_id,type_tariff,forty_five_more,hundred_more,three_hundred_more,five_hundred_more,thousand_more,f_end,created_at,updated_at,airchaft,cost, offer) values ('428','39768','3081','3081','4','100','6.46','&lt;p&gt;ALLIN&lt;/p&gt;',1,1,3,'6.46','4.94','4.18','3.8','3.8','2025-12-31',now(),now(),1,'0','0');</v>
      </c>
      <c r="P3" s="81">
        <v>0</v>
      </c>
    </row>
    <row r="4" spans="1:16">
      <c r="A4" t="s">
        <v>133</v>
      </c>
      <c r="B4" t="s">
        <v>111</v>
      </c>
      <c r="C4" s="82">
        <f>VLOOKUP(B4,[1]!Consulta1[#All],2,FALSE)</f>
        <v>50128</v>
      </c>
      <c r="D4">
        <v>4</v>
      </c>
      <c r="E4">
        <v>100</v>
      </c>
      <c r="F4">
        <v>2.21</v>
      </c>
      <c r="G4">
        <v>2.21</v>
      </c>
      <c r="H4">
        <v>1.69</v>
      </c>
      <c r="I4">
        <v>1.43</v>
      </c>
      <c r="J4">
        <v>1.3</v>
      </c>
      <c r="K4">
        <v>1.3</v>
      </c>
      <c r="M4" s="82">
        <f>VLOOKUP(A4,[1]!Consulta1[#All],2,FALSE)</f>
        <v>428</v>
      </c>
      <c r="O4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('428','50128','3081','3081','4','100','2.21','&lt;p&gt;ALLIN&lt;/p&gt;',1,1,3,'2.21','1.69','1.43','1.3','1.3','2025-12-31',now(),now(),1,'0','0');</v>
      </c>
      <c r="P4" s="81">
        <v>0</v>
      </c>
    </row>
    <row r="5" spans="1:16">
      <c r="A5" t="s">
        <v>133</v>
      </c>
      <c r="B5" t="s">
        <v>112</v>
      </c>
      <c r="C5" s="82">
        <f>VLOOKUP(B5,[1]!Consulta1[#All],2,FALSE)</f>
        <v>49251</v>
      </c>
      <c r="D5">
        <v>4</v>
      </c>
      <c r="E5">
        <v>100</v>
      </c>
      <c r="F5">
        <v>2.04</v>
      </c>
      <c r="G5">
        <v>2.04</v>
      </c>
      <c r="H5">
        <v>1.56</v>
      </c>
      <c r="I5">
        <v>1.32</v>
      </c>
      <c r="J5">
        <v>1.2</v>
      </c>
      <c r="K5">
        <v>1.2</v>
      </c>
      <c r="M5" s="82">
        <f>VLOOKUP(A5,[1]!Consulta1[#All],2,FALSE)</f>
        <v>428</v>
      </c>
      <c r="O5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('428','49251','3081','3081','4','100','2.04','&lt;p&gt;ALLIN&lt;/p&gt;',1,1,3,'2.04','1.56','1.32','1.2','1.2','2025-12-31',now(),now(),1,'0','0');</v>
      </c>
      <c r="P5" s="81">
        <v>0</v>
      </c>
    </row>
    <row r="6" spans="1:16">
      <c r="A6" t="s">
        <v>133</v>
      </c>
      <c r="B6" t="s">
        <v>113</v>
      </c>
      <c r="C6" s="82">
        <f>VLOOKUP(B6,[1]!Consulta1[#All],2,FALSE)</f>
        <v>50728</v>
      </c>
      <c r="D6">
        <v>4</v>
      </c>
      <c r="E6">
        <v>100</v>
      </c>
      <c r="F6">
        <v>2.21</v>
      </c>
      <c r="G6">
        <v>2.21</v>
      </c>
      <c r="H6">
        <v>1.69</v>
      </c>
      <c r="I6">
        <v>1.43</v>
      </c>
      <c r="J6">
        <v>1.3</v>
      </c>
      <c r="K6">
        <v>1.3</v>
      </c>
      <c r="M6" s="82">
        <f>VLOOKUP(A6,[1]!Consulta1[#All],2,FALSE)</f>
        <v>428</v>
      </c>
      <c r="O6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('428','50728','3081','3081','4','100','2.21','&lt;p&gt;ALLIN&lt;/p&gt;',1,1,3,'2.21','1.69','1.43','1.3','1.3','2025-12-31',now(),now(),1,'0','0');</v>
      </c>
      <c r="P6" s="81">
        <v>0</v>
      </c>
    </row>
    <row r="7" spans="1:16">
      <c r="A7" t="s">
        <v>133</v>
      </c>
      <c r="B7" t="s">
        <v>114</v>
      </c>
      <c r="C7" s="82">
        <f>VLOOKUP(B7,[1]!Consulta1[#All],2,FALSE)</f>
        <v>49405</v>
      </c>
      <c r="D7">
        <v>4</v>
      </c>
      <c r="E7">
        <v>100</v>
      </c>
      <c r="F7">
        <v>5.78</v>
      </c>
      <c r="G7">
        <v>5.78</v>
      </c>
      <c r="H7">
        <v>4.42</v>
      </c>
      <c r="I7">
        <v>3.74</v>
      </c>
      <c r="J7">
        <v>3.4</v>
      </c>
      <c r="K7">
        <v>3.4</v>
      </c>
      <c r="M7" s="82">
        <f>VLOOKUP(A7,[1]!Consulta1[#All],2,FALSE)</f>
        <v>428</v>
      </c>
      <c r="O7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('428','49405','3081','3081','4','100','5.78','&lt;p&gt;ALLIN&lt;/p&gt;',1,1,3,'5.78','4.42','3.74','3.4','3.4','2025-12-31',now(),now(),1,'0','0');</v>
      </c>
      <c r="P7" s="81">
        <v>0</v>
      </c>
    </row>
    <row r="8" spans="1:16">
      <c r="A8" t="s">
        <v>133</v>
      </c>
      <c r="B8" t="s">
        <v>115</v>
      </c>
      <c r="C8" s="82">
        <f>VLOOKUP(B8,[1]!Consulta1[#All],2,FALSE)</f>
        <v>50722</v>
      </c>
      <c r="D8">
        <v>4</v>
      </c>
      <c r="E8">
        <v>100</v>
      </c>
      <c r="F8">
        <v>4.76</v>
      </c>
      <c r="G8">
        <v>4.76</v>
      </c>
      <c r="H8">
        <v>3.64</v>
      </c>
      <c r="I8">
        <v>3.08</v>
      </c>
      <c r="J8">
        <v>2.8</v>
      </c>
      <c r="K8">
        <v>2.8</v>
      </c>
      <c r="M8" s="82">
        <f>VLOOKUP(A8,[1]!Consulta1[#All],2,FALSE)</f>
        <v>428</v>
      </c>
      <c r="O8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('428','50722','3081','3081','4','100','4.76','&lt;p&gt;ALLIN&lt;/p&gt;',1,1,3,'4.76','3.64','3.08','2.8','2.8','2025-12-31',now(),now(),1,'0','0');</v>
      </c>
      <c r="P8" s="81">
        <v>0</v>
      </c>
    </row>
    <row r="9" spans="1:16">
      <c r="A9" t="s">
        <v>133</v>
      </c>
      <c r="B9" t="s">
        <v>116</v>
      </c>
      <c r="C9" s="82">
        <f>VLOOKUP(B9,[1]!Consulta1[#All],2,FALSE)</f>
        <v>50706</v>
      </c>
      <c r="D9">
        <v>4</v>
      </c>
      <c r="E9">
        <v>100</v>
      </c>
      <c r="F9">
        <v>5.44</v>
      </c>
      <c r="G9">
        <v>5.44</v>
      </c>
      <c r="H9">
        <v>4.16</v>
      </c>
      <c r="I9">
        <v>3.52</v>
      </c>
      <c r="J9">
        <v>3.2</v>
      </c>
      <c r="K9">
        <v>3.2</v>
      </c>
      <c r="M9" s="82">
        <f>VLOOKUP(A9,[1]!Consulta1[#All],2,FALSE)</f>
        <v>428</v>
      </c>
      <c r="O9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('428','50706','3081','3081','4','100','5.44','&lt;p&gt;ALLIN&lt;/p&gt;',1,1,3,'5.44','4.16','3.52','3.2','3.2','2025-12-31',now(),now(),1,'0','0');</v>
      </c>
      <c r="P9" s="81">
        <v>0</v>
      </c>
    </row>
    <row r="10" spans="1:16">
      <c r="A10" t="s">
        <v>133</v>
      </c>
      <c r="B10" t="s">
        <v>117</v>
      </c>
      <c r="C10" s="82">
        <f>VLOOKUP(B10,[1]!Consulta1[#All],2,FALSE)</f>
        <v>50891</v>
      </c>
      <c r="D10">
        <v>4</v>
      </c>
      <c r="E10">
        <v>100</v>
      </c>
      <c r="F10">
        <v>8.33</v>
      </c>
      <c r="G10">
        <v>8.33</v>
      </c>
      <c r="H10">
        <v>6.37</v>
      </c>
      <c r="I10">
        <v>5.39</v>
      </c>
      <c r="J10">
        <v>4.9000000000000004</v>
      </c>
      <c r="K10">
        <v>4.9000000000000004</v>
      </c>
      <c r="M10" s="82">
        <f>VLOOKUP(A10,[1]!Consulta1[#All],2,FALSE)</f>
        <v>428</v>
      </c>
      <c r="O10" s="82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('",M10,"','",C10,"','3081','3081','",D10,"','",E10,"','",F10,"','",$L$2,"',1,1,3,'",G10,"','",H10,"','",I10,"','",J10,"','",K10,"','2025-12-31',now(),now(),1,'",P10,"','0');")</f>
        <v>insert tariffs (origin_id,destin_id,provider_id,airline_id,comodity_id,min,n,comments,active,user_id,type_tariff,forty_five_more,hundred_more,three_hundred_more,five_hundred_more,thousand_more,f_end,created_at,updated_at,airchaft,cost, offer) values ('428','50891','3081','3081','4','100','8.33','&lt;p&gt;ALLIN&lt;/p&gt;',1,1,3,'8.33','6.37','5.39','4.9','4.9','2025-12-31',now(),now(),1,'0','0');</v>
      </c>
      <c r="P10" s="81">
        <v>0</v>
      </c>
    </row>
    <row r="11" spans="1:16">
      <c r="A11" t="s">
        <v>133</v>
      </c>
      <c r="B11" t="s">
        <v>118</v>
      </c>
      <c r="C11" s="82">
        <f>VLOOKUP(B11,[1]!Consulta1[#All],2,FALSE)</f>
        <v>50688</v>
      </c>
      <c r="D11">
        <v>4</v>
      </c>
      <c r="E11">
        <v>100</v>
      </c>
      <c r="F11">
        <v>3.91</v>
      </c>
      <c r="G11">
        <v>3.91</v>
      </c>
      <c r="H11">
        <v>2.99</v>
      </c>
      <c r="I11">
        <v>2.5299999999999998</v>
      </c>
      <c r="J11">
        <v>2.2999999999999998</v>
      </c>
      <c r="K11">
        <v>2.2999999999999998</v>
      </c>
      <c r="M11" s="82">
        <f>VLOOKUP(A11,[1]!Consulta1[#All],2,FALSE)</f>
        <v>428</v>
      </c>
      <c r="O11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('428','50688','3081','3081','4','100','3.91','&lt;p&gt;ALLIN&lt;/p&gt;',1,1,3,'3.91','2.99','2.53','2.3','2.3','2025-12-31',now(),now(),1,'0','0');</v>
      </c>
      <c r="P11" s="81">
        <v>0</v>
      </c>
    </row>
    <row r="12" spans="1:16">
      <c r="A12" t="s">
        <v>133</v>
      </c>
      <c r="B12" t="s">
        <v>119</v>
      </c>
      <c r="C12" s="82">
        <f>VLOOKUP(B12,[1]!Consulta1[#All],2,FALSE)</f>
        <v>50712</v>
      </c>
      <c r="D12">
        <v>4</v>
      </c>
      <c r="E12">
        <v>100</v>
      </c>
      <c r="F12">
        <v>2.62</v>
      </c>
      <c r="G12">
        <v>2.62</v>
      </c>
      <c r="H12">
        <v>2</v>
      </c>
      <c r="I12">
        <v>1.69</v>
      </c>
      <c r="J12">
        <v>1.54</v>
      </c>
      <c r="K12">
        <v>1.54</v>
      </c>
      <c r="M12" s="82">
        <f>VLOOKUP(A12,[1]!Consulta1[#All],2,FALSE)</f>
        <v>428</v>
      </c>
      <c r="O12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('428','50712','3081','3081','4','100','2.62','&lt;p&gt;ALLIN&lt;/p&gt;',1,1,3,'2.62','2','1.69','1.54','1.54','2025-12-31',now(),now(),1,'0','0');</v>
      </c>
      <c r="P12" s="81">
        <v>0</v>
      </c>
    </row>
    <row r="13" spans="1:16">
      <c r="A13" t="s">
        <v>133</v>
      </c>
      <c r="B13" t="s">
        <v>120</v>
      </c>
      <c r="C13" s="82">
        <f>VLOOKUP(B13,[1]!Consulta1[#All],2,FALSE)</f>
        <v>49465</v>
      </c>
      <c r="D13">
        <v>4</v>
      </c>
      <c r="E13">
        <v>100</v>
      </c>
      <c r="F13">
        <v>2.72</v>
      </c>
      <c r="G13">
        <v>2.72</v>
      </c>
      <c r="H13">
        <v>2.08</v>
      </c>
      <c r="I13">
        <v>1.76</v>
      </c>
      <c r="J13">
        <v>1.6</v>
      </c>
      <c r="K13">
        <v>1.6</v>
      </c>
      <c r="M13" s="82">
        <f>VLOOKUP(A13,[1]!Consulta1[#All],2,FALSE)</f>
        <v>428</v>
      </c>
      <c r="O13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('428','49465','3081','3081','4','100','2.72','&lt;p&gt;ALLIN&lt;/p&gt;',1,1,3,'2.72','2.08','1.76','1.6','1.6','2025-12-31',now(),now(),1,'0','0');</v>
      </c>
      <c r="P13" s="81">
        <v>0</v>
      </c>
    </row>
    <row r="14" spans="1:16">
      <c r="A14" t="s">
        <v>133</v>
      </c>
      <c r="B14" t="s">
        <v>121</v>
      </c>
      <c r="C14" s="82">
        <f>VLOOKUP(B14,[1]!Consulta1[#All],2,FALSE)</f>
        <v>50882</v>
      </c>
      <c r="D14">
        <v>4</v>
      </c>
      <c r="E14">
        <v>100</v>
      </c>
      <c r="F14">
        <v>2.72</v>
      </c>
      <c r="G14">
        <v>2.72</v>
      </c>
      <c r="H14">
        <v>2.08</v>
      </c>
      <c r="I14">
        <v>1.76</v>
      </c>
      <c r="J14">
        <v>1.6</v>
      </c>
      <c r="K14">
        <v>1.6</v>
      </c>
      <c r="M14" s="82">
        <f>VLOOKUP(A14,[1]!Consulta1[#All],2,FALSE)</f>
        <v>428</v>
      </c>
      <c r="O14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('428','50882','3081','3081','4','100','2.72','&lt;p&gt;ALLIN&lt;/p&gt;',1,1,3,'2.72','2.08','1.76','1.6','1.6','2025-12-31',now(),now(),1,'0','0');</v>
      </c>
      <c r="P14" s="81">
        <v>0</v>
      </c>
    </row>
    <row r="15" spans="1:16">
      <c r="A15" t="s">
        <v>133</v>
      </c>
      <c r="B15" t="s">
        <v>122</v>
      </c>
      <c r="C15" s="82">
        <f>VLOOKUP(B15,[1]!Consulta1[#All],2,FALSE)</f>
        <v>49428</v>
      </c>
      <c r="D15">
        <v>4</v>
      </c>
      <c r="E15">
        <v>100</v>
      </c>
      <c r="F15">
        <v>1.62</v>
      </c>
      <c r="G15">
        <v>1.62</v>
      </c>
      <c r="H15">
        <v>1.24</v>
      </c>
      <c r="I15">
        <v>1.05</v>
      </c>
      <c r="J15">
        <v>0.95</v>
      </c>
      <c r="K15">
        <v>0.95</v>
      </c>
      <c r="M15" s="82">
        <f>VLOOKUP(A15,[1]!Consulta1[#All],2,FALSE)</f>
        <v>428</v>
      </c>
      <c r="O15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('428','49428','3081','3081','4','100','1.62','&lt;p&gt;ALLIN&lt;/p&gt;',1,1,3,'1.62','1.24','1.05','0.95','0.95','2025-12-31',now(),now(),1,'0','0');</v>
      </c>
      <c r="P15" s="81">
        <v>0</v>
      </c>
    </row>
    <row r="16" spans="1:16">
      <c r="A16" t="s">
        <v>133</v>
      </c>
      <c r="B16" t="s">
        <v>123</v>
      </c>
      <c r="C16" s="82">
        <f>VLOOKUP(B16,[1]!Consulta1[#All],2,FALSE)</f>
        <v>1042</v>
      </c>
      <c r="D16">
        <v>4</v>
      </c>
      <c r="E16">
        <v>100</v>
      </c>
      <c r="F16">
        <v>6.46</v>
      </c>
      <c r="G16">
        <v>6.46</v>
      </c>
      <c r="H16">
        <v>4.9400000000000004</v>
      </c>
      <c r="I16">
        <v>4.18</v>
      </c>
      <c r="J16">
        <v>3.8</v>
      </c>
      <c r="K16">
        <v>3.8</v>
      </c>
      <c r="M16" s="82">
        <f>VLOOKUP(A16,[1]!Consulta1[#All],2,FALSE)</f>
        <v>428</v>
      </c>
      <c r="O16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('428','1042','3081','3081','4','100','6.46','&lt;p&gt;ALLIN&lt;/p&gt;',1,1,3,'6.46','4.94','4.18','3.8','3.8','2025-12-31',now(),now(),1,'0','0');</v>
      </c>
      <c r="P16" s="81">
        <v>0</v>
      </c>
    </row>
    <row r="17" spans="1:16">
      <c r="A17" t="s">
        <v>133</v>
      </c>
      <c r="B17" t="s">
        <v>124</v>
      </c>
      <c r="C17" s="82">
        <f>VLOOKUP(B17,[1]!Consulta1[#All],2,FALSE)</f>
        <v>49016</v>
      </c>
      <c r="D17">
        <v>4</v>
      </c>
      <c r="E17">
        <v>100</v>
      </c>
      <c r="F17">
        <v>2.4500000000000002</v>
      </c>
      <c r="G17">
        <v>2.4500000000000002</v>
      </c>
      <c r="H17">
        <v>1.87</v>
      </c>
      <c r="I17">
        <v>1.58</v>
      </c>
      <c r="J17">
        <v>1.44</v>
      </c>
      <c r="K17">
        <v>1.44</v>
      </c>
      <c r="M17" s="82">
        <f>VLOOKUP(A17,[1]!Consulta1[#All],2,FALSE)</f>
        <v>428</v>
      </c>
      <c r="O17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('428','49016','3081','3081','4','100','2.45','&lt;p&gt;ALLIN&lt;/p&gt;',1,1,3,'2.45','1.87','1.58','1.44','1.44','2025-12-31',now(),now(),1,'0','0');</v>
      </c>
      <c r="P17" s="81">
        <v>0</v>
      </c>
    </row>
    <row r="18" spans="1:16">
      <c r="A18" t="s">
        <v>133</v>
      </c>
      <c r="B18" t="s">
        <v>125</v>
      </c>
      <c r="C18" s="82">
        <f>VLOOKUP(B18,[1]!Consulta1[#All],2,FALSE)</f>
        <v>49085</v>
      </c>
      <c r="D18">
        <v>4</v>
      </c>
      <c r="E18">
        <v>100</v>
      </c>
      <c r="F18">
        <v>2.62</v>
      </c>
      <c r="G18">
        <v>2.62</v>
      </c>
      <c r="H18">
        <v>2</v>
      </c>
      <c r="I18">
        <v>1.69</v>
      </c>
      <c r="J18">
        <v>1.54</v>
      </c>
      <c r="K18">
        <v>1.54</v>
      </c>
      <c r="M18" s="82">
        <f>VLOOKUP(A18,[1]!Consulta1[#All],2,FALSE)</f>
        <v>428</v>
      </c>
      <c r="O18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('428','49085','3081','3081','4','100','2.62','&lt;p&gt;ALLIN&lt;/p&gt;',1,1,3,'2.62','2','1.69','1.54','1.54','2025-12-31',now(),now(),1,'0','0');</v>
      </c>
      <c r="P18" s="81">
        <v>0</v>
      </c>
    </row>
    <row r="19" spans="1:16">
      <c r="A19" t="s">
        <v>133</v>
      </c>
      <c r="B19" t="s">
        <v>126</v>
      </c>
      <c r="C19" s="82">
        <f>VLOOKUP(B19,[1]!Consulta1[#All],2,FALSE)</f>
        <v>49603</v>
      </c>
      <c r="D19">
        <v>4</v>
      </c>
      <c r="E19">
        <v>100</v>
      </c>
      <c r="F19">
        <v>2.5499999999999998</v>
      </c>
      <c r="G19">
        <v>2.5499999999999998</v>
      </c>
      <c r="H19">
        <v>1.95</v>
      </c>
      <c r="I19">
        <v>1.65</v>
      </c>
      <c r="J19">
        <v>1.5</v>
      </c>
      <c r="K19">
        <v>1.5</v>
      </c>
      <c r="M19" s="82">
        <f>VLOOKUP(A19,[1]!Consulta1[#All],2,FALSE)</f>
        <v>428</v>
      </c>
      <c r="O19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('428','49603','3081','3081','4','100','2.55','&lt;p&gt;ALLIN&lt;/p&gt;',1,1,3,'2.55','1.95','1.65','1.5','1.5','2025-12-31',now(),now(),1,'0','0');</v>
      </c>
      <c r="P19" s="81">
        <v>0</v>
      </c>
    </row>
    <row r="20" spans="1:16">
      <c r="A20" t="s">
        <v>133</v>
      </c>
      <c r="B20" t="s">
        <v>127</v>
      </c>
      <c r="C20" s="82">
        <f>VLOOKUP(B20,[1]!Consulta1[#All],2,FALSE)</f>
        <v>39765</v>
      </c>
      <c r="D20">
        <v>4</v>
      </c>
      <c r="E20">
        <v>100</v>
      </c>
      <c r="F20">
        <v>4.76</v>
      </c>
      <c r="G20">
        <v>4.76</v>
      </c>
      <c r="H20">
        <v>3.64</v>
      </c>
      <c r="I20">
        <v>3.08</v>
      </c>
      <c r="J20">
        <v>2.8</v>
      </c>
      <c r="K20">
        <v>2.8</v>
      </c>
      <c r="M20" s="82">
        <f>VLOOKUP(A20,[1]!Consulta1[#All],2,FALSE)</f>
        <v>428</v>
      </c>
      <c r="O20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('428','39765','3081','3081','4','100','4.76','&lt;p&gt;ALLIN&lt;/p&gt;',1,1,3,'4.76','3.64','3.08','2.8','2.8','2025-12-31',now(),now(),1,'0','0');</v>
      </c>
      <c r="P20" s="81">
        <v>0</v>
      </c>
    </row>
    <row r="21" spans="1:16">
      <c r="A21" t="s">
        <v>133</v>
      </c>
      <c r="B21" t="s">
        <v>128</v>
      </c>
      <c r="C21" s="82">
        <f>VLOOKUP(B21,[1]!Consulta1[#All],2,FALSE)</f>
        <v>49015</v>
      </c>
      <c r="D21">
        <v>4</v>
      </c>
      <c r="E21">
        <v>100</v>
      </c>
      <c r="F21">
        <v>2.62</v>
      </c>
      <c r="G21">
        <v>2.62</v>
      </c>
      <c r="H21">
        <v>2</v>
      </c>
      <c r="I21">
        <v>1.69</v>
      </c>
      <c r="J21">
        <v>1.54</v>
      </c>
      <c r="K21">
        <v>1.54</v>
      </c>
      <c r="M21" s="82">
        <f>VLOOKUP(A21,[1]!Consulta1[#All],2,FALSE)</f>
        <v>428</v>
      </c>
      <c r="O21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('428','49015','3081','3081','4','100','2.62','&lt;p&gt;ALLIN&lt;/p&gt;',1,1,3,'2.62','2','1.69','1.54','1.54','2025-12-31',now(),now(),1,'0','0');</v>
      </c>
      <c r="P21" s="81">
        <v>0</v>
      </c>
    </row>
    <row r="22" spans="1:16">
      <c r="A22" t="s">
        <v>133</v>
      </c>
      <c r="B22" t="s">
        <v>129</v>
      </c>
      <c r="C22" s="82">
        <f>VLOOKUP(B22,[1]!Consulta1[#All],2,FALSE)</f>
        <v>49816</v>
      </c>
      <c r="D22">
        <v>4</v>
      </c>
      <c r="E22">
        <v>100</v>
      </c>
      <c r="F22">
        <v>1.7</v>
      </c>
      <c r="G22">
        <v>1.7</v>
      </c>
      <c r="H22">
        <v>1.3</v>
      </c>
      <c r="I22">
        <v>1.1000000000000001</v>
      </c>
      <c r="J22">
        <v>1</v>
      </c>
      <c r="K22">
        <v>1</v>
      </c>
      <c r="M22" s="82">
        <f>VLOOKUP(A22,[1]!Consulta1[#All],2,FALSE)</f>
        <v>428</v>
      </c>
      <c r="O22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('428','49816','3081','3081','4','100','1.7','&lt;p&gt;ALLIN&lt;/p&gt;',1,1,3,'1.7','1.3','1.1','1','1','2025-12-31',now(),now(),1,'0','0');</v>
      </c>
      <c r="P22" s="81">
        <v>0</v>
      </c>
    </row>
    <row r="23" spans="1:16">
      <c r="A23" t="s">
        <v>133</v>
      </c>
      <c r="B23" t="s">
        <v>130</v>
      </c>
      <c r="C23" s="82">
        <f>VLOOKUP(B23,[1]!Consulta1[#All],2,FALSE)</f>
        <v>49429</v>
      </c>
      <c r="D23">
        <v>4</v>
      </c>
      <c r="E23">
        <v>100</v>
      </c>
      <c r="F23">
        <v>4.08</v>
      </c>
      <c r="G23">
        <v>4.08</v>
      </c>
      <c r="H23">
        <v>3.12</v>
      </c>
      <c r="I23">
        <v>2.64</v>
      </c>
      <c r="J23">
        <v>2.4</v>
      </c>
      <c r="K23">
        <v>2.4</v>
      </c>
      <c r="M23" s="82">
        <f>VLOOKUP(A23,[1]!Consulta1[#All],2,FALSE)</f>
        <v>428</v>
      </c>
      <c r="O23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('428','49429','3081','3081','4','100','4.08','&lt;p&gt;ALLIN&lt;/p&gt;',1,1,3,'4.08','3.12','2.64','2.4','2.4','2025-12-31',now(),now(),1,'0','0');</v>
      </c>
      <c r="P23" s="81">
        <v>0</v>
      </c>
    </row>
    <row r="24" spans="1:16">
      <c r="A24" t="s">
        <v>133</v>
      </c>
      <c r="B24" t="s">
        <v>131</v>
      </c>
      <c r="C24" s="82">
        <f>VLOOKUP(B24,[1]!Consulta1[#All],2,FALSE)</f>
        <v>50900</v>
      </c>
      <c r="D24">
        <v>4</v>
      </c>
      <c r="E24">
        <v>100</v>
      </c>
      <c r="F24">
        <v>7.65</v>
      </c>
      <c r="G24">
        <v>7.65</v>
      </c>
      <c r="H24">
        <v>5.85</v>
      </c>
      <c r="I24">
        <v>4.95</v>
      </c>
      <c r="J24">
        <v>4.5</v>
      </c>
      <c r="K24">
        <v>4.5</v>
      </c>
      <c r="M24" s="82">
        <f>VLOOKUP(A24,[1]!Consulta1[#All],2,FALSE)</f>
        <v>428</v>
      </c>
      <c r="O24" s="82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('428','50900','3081','3081','4','100','7.65','&lt;p&gt;ALLIN&lt;/p&gt;',1,1,3,'7.65','5.85','4.95','4.5','4.5','2025-12-31',now(),now(),1,'0','0');</v>
      </c>
      <c r="P24" s="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sqref="A1:B1"/>
    </sheetView>
  </sheetViews>
  <sheetFormatPr baseColWidth="10" defaultColWidth="9.33203125" defaultRowHeight="12.75"/>
  <cols>
    <col min="1" max="1" width="17.5" customWidth="1"/>
    <col min="2" max="2" width="24.6640625" customWidth="1"/>
    <col min="3" max="3" width="14.83203125" customWidth="1"/>
    <col min="4" max="4" width="11.33203125" customWidth="1"/>
    <col min="5" max="5" width="11.5" customWidth="1"/>
    <col min="6" max="7" width="11.33203125" customWidth="1"/>
    <col min="8" max="8" width="22.6640625" customWidth="1"/>
  </cols>
  <sheetData>
    <row r="1" spans="1:8" ht="15" customHeight="1">
      <c r="A1" s="50" t="s">
        <v>65</v>
      </c>
      <c r="B1" s="51"/>
      <c r="C1" s="15"/>
      <c r="D1" s="16">
        <v>125</v>
      </c>
      <c r="E1" s="16">
        <v>0.3</v>
      </c>
      <c r="F1" s="15"/>
      <c r="G1" s="15"/>
      <c r="H1" s="17" t="s">
        <v>66</v>
      </c>
    </row>
    <row r="2" spans="1:8" ht="15" customHeight="1">
      <c r="A2" s="50" t="s">
        <v>67</v>
      </c>
      <c r="B2" s="51"/>
      <c r="C2" s="15"/>
      <c r="D2" s="16">
        <v>125</v>
      </c>
      <c r="E2" s="16">
        <v>0.3</v>
      </c>
      <c r="F2" s="15"/>
      <c r="G2" s="15"/>
      <c r="H2" s="15"/>
    </row>
    <row r="3" spans="1:8" ht="15" customHeight="1">
      <c r="A3" s="50" t="s">
        <v>68</v>
      </c>
      <c r="B3" s="51"/>
      <c r="C3" s="15"/>
      <c r="D3" s="16">
        <v>250</v>
      </c>
      <c r="E3" s="18">
        <v>2</v>
      </c>
      <c r="F3" s="15"/>
      <c r="G3" s="15"/>
      <c r="H3" s="17" t="s">
        <v>69</v>
      </c>
    </row>
    <row r="4" spans="1:8" ht="15" customHeight="1">
      <c r="A4" s="50" t="s">
        <v>70</v>
      </c>
      <c r="B4" s="51"/>
      <c r="C4" s="15"/>
      <c r="D4" s="19">
        <v>1.5</v>
      </c>
      <c r="E4" s="19">
        <v>1.5</v>
      </c>
      <c r="F4" s="15"/>
      <c r="G4" s="15"/>
      <c r="H4" s="15"/>
    </row>
    <row r="5" spans="1:8" ht="15" customHeight="1">
      <c r="A5" s="50" t="s">
        <v>71</v>
      </c>
      <c r="B5" s="51"/>
      <c r="C5" s="15"/>
      <c r="D5" s="19">
        <v>2</v>
      </c>
      <c r="E5" s="19">
        <v>2</v>
      </c>
      <c r="F5" s="15"/>
      <c r="G5" s="15"/>
      <c r="H5" s="15"/>
    </row>
    <row r="6" spans="1:8" ht="15" customHeight="1">
      <c r="A6" s="50" t="s">
        <v>72</v>
      </c>
      <c r="B6" s="51"/>
      <c r="C6" s="15"/>
      <c r="D6" s="20">
        <v>980</v>
      </c>
      <c r="E6" s="15"/>
      <c r="F6" s="15"/>
      <c r="G6" s="15"/>
      <c r="H6" s="15"/>
    </row>
    <row r="7" spans="1:8" ht="15" customHeight="1">
      <c r="A7" s="50" t="s">
        <v>73</v>
      </c>
      <c r="B7" s="51"/>
      <c r="C7" s="15"/>
      <c r="D7" s="20">
        <v>450</v>
      </c>
      <c r="E7" s="15"/>
      <c r="F7" s="15"/>
      <c r="G7" s="15"/>
      <c r="H7" s="15"/>
    </row>
    <row r="8" spans="1:8" ht="44.1" customHeight="1">
      <c r="A8" s="52"/>
      <c r="B8" s="53"/>
      <c r="C8" s="53"/>
      <c r="D8" s="53"/>
      <c r="E8" s="53"/>
      <c r="F8" s="53"/>
      <c r="G8" s="53"/>
      <c r="H8" s="53"/>
    </row>
    <row r="9" spans="1:8" ht="29.45" customHeight="1">
      <c r="A9" s="54" t="s">
        <v>74</v>
      </c>
      <c r="B9" s="55"/>
      <c r="C9" s="55"/>
      <c r="D9" s="55"/>
      <c r="E9" s="55"/>
      <c r="F9" s="55"/>
      <c r="G9" s="55"/>
      <c r="H9" s="55"/>
    </row>
    <row r="10" spans="1:8" ht="47.1" customHeight="1">
      <c r="A10" s="21"/>
      <c r="B10" s="22" t="s">
        <v>75</v>
      </c>
      <c r="C10" s="23" t="s">
        <v>76</v>
      </c>
      <c r="D10" s="24"/>
      <c r="E10" s="25" t="s">
        <v>77</v>
      </c>
      <c r="F10" s="24"/>
      <c r="G10" s="24"/>
      <c r="H10" s="26" t="s">
        <v>78</v>
      </c>
    </row>
    <row r="11" spans="1:8" ht="15" customHeight="1">
      <c r="A11" s="56" t="s">
        <v>79</v>
      </c>
      <c r="B11" s="57"/>
      <c r="C11" s="58"/>
      <c r="D11" s="15"/>
      <c r="E11" s="56" t="s">
        <v>80</v>
      </c>
      <c r="F11" s="57"/>
      <c r="G11" s="57"/>
      <c r="H11" s="57"/>
    </row>
    <row r="12" spans="1:8" ht="15" customHeight="1">
      <c r="A12" s="50" t="s">
        <v>81</v>
      </c>
      <c r="B12" s="51"/>
      <c r="C12" s="27">
        <v>20</v>
      </c>
      <c r="D12" s="19">
        <v>0.05</v>
      </c>
      <c r="E12" s="50" t="s">
        <v>82</v>
      </c>
      <c r="F12" s="59"/>
      <c r="G12" s="59"/>
      <c r="H12" s="51"/>
    </row>
    <row r="13" spans="1:8" ht="15" customHeight="1">
      <c r="A13" s="50" t="s">
        <v>83</v>
      </c>
      <c r="B13" s="51"/>
      <c r="C13" s="27">
        <v>20</v>
      </c>
      <c r="D13" s="19">
        <v>0.1</v>
      </c>
      <c r="E13" s="50" t="s">
        <v>82</v>
      </c>
      <c r="F13" s="59"/>
      <c r="G13" s="59"/>
      <c r="H13" s="51"/>
    </row>
    <row r="14" spans="1:8" ht="15" customHeight="1">
      <c r="A14" s="15"/>
      <c r="B14" s="27">
        <v>20</v>
      </c>
      <c r="C14" s="15"/>
      <c r="D14" s="19">
        <v>0.1</v>
      </c>
      <c r="E14" s="50" t="s">
        <v>84</v>
      </c>
      <c r="F14" s="59"/>
      <c r="G14" s="59"/>
      <c r="H14" s="51"/>
    </row>
    <row r="15" spans="1:8" ht="15" customHeight="1">
      <c r="A15" s="15"/>
      <c r="B15" s="27">
        <v>100</v>
      </c>
      <c r="C15" s="15"/>
      <c r="D15" s="15"/>
      <c r="E15" s="50" t="s">
        <v>85</v>
      </c>
      <c r="F15" s="59"/>
      <c r="G15" s="59"/>
      <c r="H15" s="51"/>
    </row>
    <row r="16" spans="1:8" ht="15" customHeight="1">
      <c r="A16" s="15"/>
      <c r="B16" s="27">
        <v>0.2</v>
      </c>
      <c r="C16" s="15"/>
      <c r="D16" s="15"/>
      <c r="E16" s="50" t="s">
        <v>86</v>
      </c>
      <c r="F16" s="59"/>
      <c r="G16" s="59"/>
      <c r="H16" s="51"/>
    </row>
    <row r="17" spans="1:8" ht="31.5" customHeight="1">
      <c r="A17" s="60"/>
      <c r="B17" s="61"/>
      <c r="C17" s="61"/>
      <c r="D17" s="61"/>
      <c r="E17" s="61"/>
      <c r="F17" s="61"/>
      <c r="G17" s="61"/>
      <c r="H17" s="61"/>
    </row>
    <row r="18" spans="1:8" ht="29.45" customHeight="1">
      <c r="A18" s="54" t="s">
        <v>87</v>
      </c>
      <c r="B18" s="55"/>
      <c r="C18" s="55"/>
      <c r="D18" s="55"/>
      <c r="E18" s="55"/>
      <c r="F18" s="55"/>
      <c r="G18" s="55"/>
      <c r="H18" s="55"/>
    </row>
    <row r="19" spans="1:8" ht="15" customHeight="1">
      <c r="A19" s="62" t="s">
        <v>88</v>
      </c>
      <c r="B19" s="63"/>
      <c r="C19" s="63"/>
      <c r="D19" s="63"/>
      <c r="E19" s="63"/>
      <c r="F19" s="63"/>
      <c r="G19" s="63"/>
      <c r="H19" s="63"/>
    </row>
    <row r="20" spans="1:8" ht="14.85" customHeight="1">
      <c r="A20" s="64" t="s">
        <v>89</v>
      </c>
      <c r="B20" s="65"/>
      <c r="C20" s="65"/>
      <c r="D20" s="65"/>
      <c r="E20" s="65"/>
      <c r="F20" s="65"/>
      <c r="G20" s="65"/>
      <c r="H20" s="65"/>
    </row>
    <row r="21" spans="1:8" ht="14.45" customHeight="1">
      <c r="A21" s="64" t="s">
        <v>90</v>
      </c>
      <c r="B21" s="65"/>
      <c r="C21" s="65"/>
      <c r="D21" s="65"/>
      <c r="E21" s="65"/>
      <c r="F21" s="65"/>
      <c r="G21" s="65"/>
      <c r="H21" s="65"/>
    </row>
    <row r="22" spans="1:8" ht="14.45" customHeight="1">
      <c r="A22" s="64" t="s">
        <v>91</v>
      </c>
      <c r="B22" s="65"/>
      <c r="C22" s="65"/>
      <c r="D22" s="65"/>
      <c r="E22" s="65"/>
      <c r="F22" s="65"/>
      <c r="G22" s="65"/>
      <c r="H22" s="65"/>
    </row>
    <row r="23" spans="1:8" ht="14.45" customHeight="1">
      <c r="A23" s="64" t="s">
        <v>92</v>
      </c>
      <c r="B23" s="65"/>
      <c r="C23" s="65"/>
      <c r="D23" s="65"/>
      <c r="E23" s="65"/>
      <c r="F23" s="65"/>
      <c r="G23" s="65"/>
      <c r="H23" s="65"/>
    </row>
    <row r="24" spans="1:8" ht="14.45" customHeight="1">
      <c r="A24" s="64" t="s">
        <v>93</v>
      </c>
      <c r="B24" s="65"/>
      <c r="C24" s="65"/>
      <c r="D24" s="65"/>
      <c r="E24" s="65"/>
      <c r="F24" s="65"/>
      <c r="G24" s="65"/>
      <c r="H24" s="65"/>
    </row>
    <row r="25" spans="1:8" ht="14.25" customHeight="1">
      <c r="A25" s="64" t="s">
        <v>94</v>
      </c>
      <c r="B25" s="65"/>
      <c r="C25" s="65"/>
      <c r="D25" s="65"/>
      <c r="E25" s="65"/>
      <c r="F25" s="65"/>
      <c r="G25" s="65"/>
      <c r="H25" s="65"/>
    </row>
    <row r="26" spans="1:8" ht="14.45" customHeight="1">
      <c r="A26" s="64" t="s">
        <v>95</v>
      </c>
      <c r="B26" s="65"/>
      <c r="C26" s="65"/>
      <c r="D26" s="65"/>
      <c r="E26" s="65"/>
      <c r="F26" s="65"/>
      <c r="G26" s="65"/>
      <c r="H26" s="65"/>
    </row>
    <row r="27" spans="1:8" ht="29.25" customHeight="1">
      <c r="A27" s="66" t="s">
        <v>96</v>
      </c>
      <c r="B27" s="67"/>
      <c r="C27" s="67"/>
      <c r="D27" s="67"/>
      <c r="E27" s="67"/>
      <c r="F27" s="67"/>
      <c r="G27" s="67"/>
      <c r="H27" s="67"/>
    </row>
    <row r="28" spans="1:8" ht="28.7" customHeight="1">
      <c r="A28" s="68" t="s">
        <v>97</v>
      </c>
      <c r="B28" s="69"/>
      <c r="C28" s="69"/>
      <c r="D28" s="69"/>
      <c r="E28" s="69"/>
      <c r="F28" s="69"/>
      <c r="G28" s="69"/>
      <c r="H28" s="69"/>
    </row>
    <row r="29" spans="1:8" ht="15" customHeight="1"/>
    <row r="30" spans="1:8" ht="16.5" customHeight="1">
      <c r="A30" s="70" t="s">
        <v>98</v>
      </c>
      <c r="B30" s="71"/>
      <c r="C30" s="71"/>
      <c r="D30" s="71"/>
      <c r="E30" s="71"/>
      <c r="F30" s="71"/>
      <c r="G30" s="71"/>
      <c r="H30" s="71"/>
    </row>
    <row r="31" spans="1:8" ht="16.5" customHeight="1">
      <c r="A31" s="72" t="s">
        <v>99</v>
      </c>
      <c r="B31" s="73"/>
      <c r="C31" s="73"/>
      <c r="D31" s="74"/>
      <c r="E31" s="75" t="s">
        <v>100</v>
      </c>
      <c r="F31" s="76"/>
      <c r="G31" s="76"/>
      <c r="H31" s="77"/>
    </row>
    <row r="32" spans="1:8" ht="16.5" customHeight="1">
      <c r="A32" s="72" t="s">
        <v>101</v>
      </c>
      <c r="B32" s="73"/>
      <c r="C32" s="73"/>
      <c r="D32" s="74"/>
      <c r="E32" s="75" t="s">
        <v>102</v>
      </c>
      <c r="F32" s="76"/>
      <c r="G32" s="76"/>
      <c r="H32" s="77"/>
    </row>
    <row r="33" spans="1:8" ht="16.5" customHeight="1">
      <c r="A33" s="78">
        <v>7328502019</v>
      </c>
      <c r="B33" s="79"/>
      <c r="C33" s="79"/>
      <c r="D33" s="80"/>
      <c r="E33" s="75" t="s">
        <v>103</v>
      </c>
      <c r="F33" s="76"/>
      <c r="G33" s="76"/>
      <c r="H33" s="77"/>
    </row>
    <row r="34" spans="1:8" ht="16.5" customHeight="1">
      <c r="A34" s="75" t="s">
        <v>104</v>
      </c>
      <c r="B34" s="76"/>
      <c r="C34" s="76"/>
      <c r="D34" s="77"/>
      <c r="E34" s="75" t="s">
        <v>105</v>
      </c>
      <c r="F34" s="76"/>
      <c r="G34" s="76"/>
      <c r="H34" s="77"/>
    </row>
  </sheetData>
  <mergeCells count="39">
    <mergeCell ref="A34:D34"/>
    <mergeCell ref="E34:H34"/>
    <mergeCell ref="A31:D31"/>
    <mergeCell ref="E31:H31"/>
    <mergeCell ref="A32:D32"/>
    <mergeCell ref="E32:H32"/>
    <mergeCell ref="A33:D33"/>
    <mergeCell ref="E33:H33"/>
    <mergeCell ref="A25:H25"/>
    <mergeCell ref="A26:H26"/>
    <mergeCell ref="A27:H27"/>
    <mergeCell ref="A28:H28"/>
    <mergeCell ref="A30:H30"/>
    <mergeCell ref="A20:H20"/>
    <mergeCell ref="A21:H21"/>
    <mergeCell ref="A22:H22"/>
    <mergeCell ref="A23:H23"/>
    <mergeCell ref="A24:H24"/>
    <mergeCell ref="E15:H15"/>
    <mergeCell ref="E16:H16"/>
    <mergeCell ref="A17:H17"/>
    <mergeCell ref="A18:H18"/>
    <mergeCell ref="A19:H19"/>
    <mergeCell ref="A12:B12"/>
    <mergeCell ref="E12:H12"/>
    <mergeCell ref="A13:B13"/>
    <mergeCell ref="E13:H13"/>
    <mergeCell ref="E14:H14"/>
    <mergeCell ref="A6:B6"/>
    <mergeCell ref="A7:B7"/>
    <mergeCell ref="A8:H8"/>
    <mergeCell ref="A9:H9"/>
    <mergeCell ref="A11:C11"/>
    <mergeCell ref="E11:H11"/>
    <mergeCell ref="A1:B1"/>
    <mergeCell ref="A2:B2"/>
    <mergeCell ref="A3:B3"/>
    <mergeCell ref="A4:B4"/>
    <mergeCell ref="A5:B5"/>
  </mergeCells>
  <hyperlinks>
    <hyperlink ref="A34" r:id="rId1" display="mailto:emma.aleman@avianca.com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Hoja1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sagallo</dc:creator>
  <cp:lastModifiedBy>ANTHONY JOSSUE RAMIREZ FLORES</cp:lastModifiedBy>
  <dcterms:created xsi:type="dcterms:W3CDTF">2025-12-09T15:49:26Z</dcterms:created>
  <dcterms:modified xsi:type="dcterms:W3CDTF">2025-12-09T16:07:47Z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2025-12-09T00:00:00Z</vt:filetime>
  </property>
  <property fmtid="{D5CDD505-2E9C-101B-9397-08002B2CF9AE}" pid="5" name="MSIP_Label_0095ecea-2d80-4438-b187-500ba7651319_Enabled">
    <vt:lpwstr>True</vt:lpwstr>
  </property>
  <property fmtid="{D5CDD505-2E9C-101B-9397-08002B2CF9AE}" pid="6" name="MSIP_Label_0095ecea-2d80-4438-b187-500ba7651319_Method">
    <vt:lpwstr>Standard</vt:lpwstr>
  </property>
  <property fmtid="{D5CDD505-2E9C-101B-9397-08002B2CF9AE}" pid="7" name="MSIP_Label_0095ecea-2d80-4438-b187-500ba7651319_SiteId">
    <vt:lpwstr>a2addd3e-8397-4579-ba30-7a38803fc3bf</vt:lpwstr>
  </property>
  <property fmtid="{D5CDD505-2E9C-101B-9397-08002B2CF9AE}" pid="8" name="Producer">
    <vt:lpwstr>Microsoft® Excel® for Microsoft 365</vt:lpwstr>
  </property>
</Properties>
</file>