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\tariff\air\ita\"/>
    </mc:Choice>
  </mc:AlternateContent>
  <xr:revisionPtr revIDLastSave="0" documentId="8_{53AE3E8A-6948-4BC8-B633-A74157AEBCA3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able 1" sheetId="1" r:id="rId1"/>
    <sheet name="Table 2" sheetId="2" r:id="rId2"/>
    <sheet name="Table 3" sheetId="3" r:id="rId3"/>
    <sheet name="Tabla1" sheetId="7" r:id="rId4"/>
    <sheet name="Hoja2" sheetId="8" r:id="rId5"/>
    <sheet name="Hoja1" sheetId="6" r:id="rId6"/>
    <sheet name="Table 4" sheetId="4" r:id="rId7"/>
    <sheet name="Table 5" sheetId="5" r:id="rId8"/>
  </sheets>
  <externalReferences>
    <externalReference r:id="rId9"/>
  </externalReferences>
  <definedNames>
    <definedName name="DatosExternos_1" localSheetId="3" hidden="1">Tabla1!$A$1:$I$29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8" l="1"/>
  <c r="O3" i="8"/>
  <c r="O4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2" i="8"/>
  <c r="L2" i="8"/>
  <c r="M5" i="8"/>
  <c r="M4" i="8"/>
  <c r="M3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CC8CF4-2CDC-49B4-9933-880E365FBEDE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<sst xmlns="http://schemas.openxmlformats.org/spreadsheetml/2006/main" count="216" uniqueCount="51">
  <si>
    <r>
      <rPr>
        <sz val="9"/>
        <color rgb="FF006FC0"/>
        <rFont val="Trebuchet MS"/>
        <family val="2"/>
      </rPr>
      <t>Nonstop uplift from JFK / BOS* / MIA / LAX / SFO* (</t>
    </r>
    <r>
      <rPr>
        <i/>
        <sz val="9"/>
        <color rgb="FF006FC0"/>
        <rFont val="Trebuchet MS"/>
        <family val="2"/>
      </rPr>
      <t xml:space="preserve">BOS until 08Jan2c / SFO until 05JAN2c than operating via JFK and LAX through March-202c)
</t>
    </r>
    <r>
      <rPr>
        <sz val="9"/>
        <color rgb="FF006FC0"/>
        <rFont val="Trebuchet MS"/>
        <family val="2"/>
      </rPr>
      <t>RFS (Road Feeder Service) from IAD / ORD / CLE/ CMH/ CVG/ DTW/ IAH / DFW / ATL Rates all in, valid for General Cargo, Known Shipper only</t>
    </r>
    <r>
      <rPr>
        <sz val="9"/>
        <color rgb="FF006FC0"/>
        <rFont val="Arial MT"/>
        <family val="2"/>
      </rPr>
      <t>,</t>
    </r>
  </si>
  <si>
    <r>
      <rPr>
        <sz val="9"/>
        <color rgb="FFC00000"/>
        <rFont val="Segoe UI Emoji"/>
        <family val="2"/>
      </rPr>
      <t xml:space="preserve">✈️ </t>
    </r>
    <r>
      <rPr>
        <sz val="9"/>
        <color rgb="FFC00000"/>
        <rFont val="Trebuchet MS"/>
        <family val="2"/>
      </rPr>
      <t xml:space="preserve">Online Uplift – Direct flights to FCO &amp; connections to MXP (via FCO RFS service) - </t>
    </r>
    <r>
      <rPr>
        <u/>
        <sz val="9"/>
        <color rgb="FF0462C1"/>
        <rFont val="Trebuchet MS"/>
        <family val="2"/>
      </rPr>
      <t>ITA Airways - Flight Schedule</t>
    </r>
  </si>
  <si>
    <r>
      <rPr>
        <sz val="9"/>
        <color rgb="FFFFFFFF"/>
        <rFont val="Trebuchet MS"/>
        <family val="2"/>
      </rPr>
      <t>To</t>
    </r>
  </si>
  <si>
    <r>
      <rPr>
        <sz val="9"/>
        <color rgb="FFFFFFFF"/>
        <rFont val="Trebuchet MS"/>
        <family val="2"/>
      </rPr>
      <t>From</t>
    </r>
  </si>
  <si>
    <r>
      <rPr>
        <sz val="9"/>
        <color rgb="FFFFFFFF"/>
        <rFont val="Trebuchet MS"/>
        <family val="2"/>
      </rPr>
      <t>Min</t>
    </r>
  </si>
  <si>
    <r>
      <rPr>
        <sz val="9"/>
        <color rgb="FFFFFFFF"/>
        <rFont val="Trebuchet MS"/>
        <family val="2"/>
      </rPr>
      <t>N</t>
    </r>
  </si>
  <si>
    <r>
      <rPr>
        <sz val="9"/>
        <color rgb="FF006FC0"/>
        <rFont val="Trebuchet MS"/>
        <family val="2"/>
      </rPr>
      <t>FCO</t>
    </r>
  </si>
  <si>
    <r>
      <rPr>
        <sz val="9"/>
        <color rgb="FF006FC0"/>
        <rFont val="Trebuchet MS"/>
        <family val="2"/>
      </rPr>
      <t>JFK</t>
    </r>
  </si>
  <si>
    <r>
      <rPr>
        <sz val="9"/>
        <color rgb="FF006FC0"/>
        <rFont val="Trebuchet MS"/>
        <family val="2"/>
      </rPr>
      <t>MIA</t>
    </r>
  </si>
  <si>
    <r>
      <rPr>
        <sz val="9"/>
        <color rgb="FF006FC0"/>
        <rFont val="Trebuchet MS"/>
        <family val="2"/>
      </rPr>
      <t>LAX</t>
    </r>
  </si>
  <si>
    <r>
      <rPr>
        <sz val="9"/>
        <color rgb="FF006FC0"/>
        <rFont val="Trebuchet MS"/>
        <family val="2"/>
      </rPr>
      <t>MXP</t>
    </r>
  </si>
  <si>
    <r>
      <rPr>
        <sz val="9"/>
        <color rgb="FFC00000"/>
        <rFont val="Segoe UI Emoji"/>
        <family val="2"/>
      </rPr>
      <t xml:space="preserve">🚚 </t>
    </r>
    <r>
      <rPr>
        <sz val="9"/>
        <color rgb="FFC00000"/>
        <rFont val="Trebuchet MS"/>
        <family val="2"/>
      </rPr>
      <t xml:space="preserve">RFS Service – Via MIA / JFK Hubs – service provided by Jet Airways of the U.S. - Drop stations </t>
    </r>
    <r>
      <rPr>
        <u/>
        <sz val="9"/>
        <color rgb="FF0462C1"/>
        <rFont val="Trebuchet MS"/>
        <family val="2"/>
      </rPr>
      <t>Drop_Stations</t>
    </r>
  </si>
  <si>
    <r>
      <rPr>
        <sz val="9"/>
        <color rgb="FF006FC0"/>
        <rFont val="Trebuchet MS"/>
        <family val="2"/>
      </rPr>
      <t>ATL</t>
    </r>
  </si>
  <si>
    <r>
      <rPr>
        <sz val="9"/>
        <color rgb="FF006FC0"/>
        <rFont val="Trebuchet MS"/>
        <family val="2"/>
      </rPr>
      <t>IAH / DFW</t>
    </r>
  </si>
  <si>
    <r>
      <rPr>
        <sz val="9"/>
        <color rgb="FF006FC0"/>
        <rFont val="Trebuchet MS"/>
        <family val="2"/>
      </rPr>
      <t>IAD / BOS</t>
    </r>
  </si>
  <si>
    <r>
      <rPr>
        <sz val="9"/>
        <color rgb="FF006FC0"/>
        <rFont val="Trebuchet MS"/>
        <family val="2"/>
      </rPr>
      <t xml:space="preserve">ORD/ CLE/ CMH
</t>
    </r>
    <r>
      <rPr>
        <sz val="9"/>
        <color rgb="FF006FC0"/>
        <rFont val="Trebuchet MS"/>
        <family val="2"/>
      </rPr>
      <t>CVG/ DTW</t>
    </r>
  </si>
  <si>
    <r>
      <rPr>
        <sz val="9"/>
        <color rgb="FF006FC0"/>
        <rFont val="Trebuchet MS"/>
        <family val="2"/>
      </rPr>
      <t>SFO</t>
    </r>
  </si>
  <si>
    <r>
      <rPr>
        <sz val="10"/>
        <color rgb="FF006FC0"/>
        <rFont val="Trebuchet MS"/>
        <family val="2"/>
      </rPr>
      <t xml:space="preserve">ITA Airways Customer Service Office
</t>
    </r>
    <r>
      <rPr>
        <sz val="8"/>
        <rFont val="Trebuchet MS"/>
        <family val="2"/>
      </rPr>
      <t xml:space="preserve">+1 (718) 917-8827 </t>
    </r>
    <r>
      <rPr>
        <u/>
        <sz val="8"/>
        <color rgb="FF0462C1"/>
        <rFont val="Trebuchet MS"/>
        <family val="2"/>
      </rPr>
      <t xml:space="preserve">azcargo@atc-aviationusa.com
</t>
    </r>
    <r>
      <rPr>
        <sz val="11"/>
        <color rgb="FFC00000"/>
        <rFont val="Trebuchet MS"/>
        <family val="2"/>
      </rPr>
      <t xml:space="preserve">Sales:
</t>
    </r>
    <r>
      <rPr>
        <sz val="9"/>
        <color rgb="FF006FC0"/>
        <rFont val="Trebuchet MS"/>
        <family val="2"/>
      </rPr>
      <t xml:space="preserve">ORD:                   </t>
    </r>
    <r>
      <rPr>
        <sz val="9"/>
        <rFont val="Trebuchet MS"/>
        <family val="2"/>
      </rPr>
      <t xml:space="preserve">Laurie Morch </t>
    </r>
    <r>
      <rPr>
        <u/>
        <sz val="9"/>
        <color rgb="FF0462C1"/>
        <rFont val="Trebuchet MS"/>
        <family val="2"/>
      </rPr>
      <t>lmorch@atc-aviationusa.com</t>
    </r>
    <r>
      <rPr>
        <sz val="9"/>
        <color rgb="FF0462C1"/>
        <rFont val="Trebuchet MS"/>
        <family val="2"/>
      </rPr>
      <t xml:space="preserve">      </t>
    </r>
    <r>
      <rPr>
        <sz val="9"/>
        <rFont val="Trebuchet MS"/>
        <family val="2"/>
      </rPr>
      <t xml:space="preserve">+1 (312) 973-7587 </t>
    </r>
    <r>
      <rPr>
        <sz val="9"/>
        <color rgb="FF006FC0"/>
        <rFont val="Trebuchet MS"/>
        <family val="2"/>
      </rPr>
      <t xml:space="preserve">NYC | BOS | WAS:  </t>
    </r>
    <r>
      <rPr>
        <sz val="9"/>
        <rFont val="Trebuchet MS"/>
        <family val="2"/>
      </rPr>
      <t xml:space="preserve">Aaron Moreno </t>
    </r>
    <r>
      <rPr>
        <u/>
        <sz val="9"/>
        <color rgb="FF0462C1"/>
        <rFont val="Trebuchet MS"/>
        <family val="2"/>
      </rPr>
      <t>amoreno@atc-aviationusa.com</t>
    </r>
    <r>
      <rPr>
        <sz val="9"/>
        <color rgb="FF0462C1"/>
        <rFont val="Trebuchet MS"/>
        <family val="2"/>
      </rPr>
      <t xml:space="preserve">  </t>
    </r>
    <r>
      <rPr>
        <sz val="9"/>
        <rFont val="Trebuchet MS"/>
        <family val="2"/>
      </rPr>
      <t xml:space="preserve">+1 (917) 254-2035 </t>
    </r>
    <r>
      <rPr>
        <sz val="9"/>
        <color rgb="FF006FC0"/>
        <rFont val="Trebuchet MS"/>
        <family val="2"/>
      </rPr>
      <t xml:space="preserve">LAX:                    </t>
    </r>
    <r>
      <rPr>
        <sz val="9"/>
        <rFont val="Trebuchet MS"/>
        <family val="2"/>
      </rPr>
      <t xml:space="preserve">Joseph Tirello </t>
    </r>
    <r>
      <rPr>
        <u/>
        <sz val="9"/>
        <color rgb="FF0462C1"/>
        <rFont val="Trebuchet MS"/>
        <family val="2"/>
      </rPr>
      <t>jtirello@atc-aviationusa.com</t>
    </r>
    <r>
      <rPr>
        <sz val="9"/>
        <color rgb="FF0462C1"/>
        <rFont val="Trebuchet MS"/>
        <family val="2"/>
      </rPr>
      <t xml:space="preserve">       </t>
    </r>
    <r>
      <rPr>
        <sz val="9"/>
        <rFont val="Trebuchet MS"/>
        <family val="2"/>
      </rPr>
      <t xml:space="preserve">+1 (951) 405-9358
</t>
    </r>
    <r>
      <rPr>
        <sz val="9"/>
        <color rgb="FF006FC0"/>
        <rFont val="Trebuchet MS"/>
        <family val="2"/>
      </rPr>
      <t xml:space="preserve">SFO:                    </t>
    </r>
    <r>
      <rPr>
        <sz val="9"/>
        <rFont val="Trebuchet MS"/>
        <family val="2"/>
      </rPr>
      <t xml:space="preserve">Kim Motland </t>
    </r>
    <r>
      <rPr>
        <u/>
        <sz val="9"/>
        <color rgb="FF0462C1"/>
        <rFont val="Trebuchet MS"/>
        <family val="2"/>
      </rPr>
      <t>kmotland@atc-aviationusa.com</t>
    </r>
    <r>
      <rPr>
        <sz val="9"/>
        <color rgb="FF0462C1"/>
        <rFont val="Trebuchet MS"/>
        <family val="2"/>
      </rPr>
      <t xml:space="preserve">    </t>
    </r>
    <r>
      <rPr>
        <sz val="9"/>
        <rFont val="Trebuchet MS"/>
        <family val="2"/>
      </rPr>
      <t xml:space="preserve">+1 (206) 793-8150 </t>
    </r>
    <r>
      <rPr>
        <sz val="9"/>
        <color rgb="FF006FC0"/>
        <rFont val="Trebuchet MS"/>
        <family val="2"/>
      </rPr>
      <t xml:space="preserve">DFW | IAH            </t>
    </r>
    <r>
      <rPr>
        <sz val="9"/>
        <rFont val="Trebuchet MS"/>
        <family val="2"/>
      </rPr>
      <t xml:space="preserve">Pete Nolte </t>
    </r>
    <r>
      <rPr>
        <u/>
        <sz val="9"/>
        <color rgb="FF0462C1"/>
        <rFont val="Trebuchet MS"/>
        <family val="2"/>
      </rPr>
      <t>pnolte@atc-aviationusa.com</t>
    </r>
    <r>
      <rPr>
        <sz val="9"/>
        <color rgb="FF0462C1"/>
        <rFont val="Trebuchet MS"/>
        <family val="2"/>
      </rPr>
      <t xml:space="preserve">           </t>
    </r>
    <r>
      <rPr>
        <sz val="9"/>
        <rFont val="Trebuchet MS"/>
        <family val="2"/>
      </rPr>
      <t xml:space="preserve">+1(214) 927-267 </t>
    </r>
    <r>
      <rPr>
        <sz val="9"/>
        <color rgb="FF006FC0"/>
        <rFont val="Trebuchet MS"/>
        <family val="2"/>
      </rPr>
      <t xml:space="preserve">ATL                     </t>
    </r>
    <r>
      <rPr>
        <sz val="9"/>
        <rFont val="Trebuchet MS"/>
        <family val="2"/>
      </rPr>
      <t xml:space="preserve">Brad Reyburne </t>
    </r>
    <r>
      <rPr>
        <u/>
        <sz val="9"/>
        <color rgb="FF0462C1"/>
        <rFont val="Trebuchet MS"/>
        <family val="2"/>
      </rPr>
      <t>Breyburne@atc-aviatoinusa.com</t>
    </r>
    <r>
      <rPr>
        <sz val="9"/>
        <color rgb="FF0462C1"/>
        <rFont val="Trebuchet MS"/>
        <family val="2"/>
      </rPr>
      <t xml:space="preserve"> </t>
    </r>
    <r>
      <rPr>
        <sz val="9"/>
        <rFont val="Trebuchet MS"/>
        <family val="2"/>
      </rPr>
      <t xml:space="preserve">+1(770) 527-8698
</t>
    </r>
    <r>
      <rPr>
        <sz val="9"/>
        <color rgb="FF006FC0"/>
        <rFont val="Trebuchet MS"/>
        <family val="2"/>
      </rPr>
      <t xml:space="preserve">MIA                     </t>
    </r>
    <r>
      <rPr>
        <sz val="9"/>
        <rFont val="Trebuchet MS"/>
        <family val="2"/>
      </rPr>
      <t>J</t>
    </r>
    <r>
      <rPr>
        <sz val="9"/>
        <rFont val="Calibri"/>
        <family val="1"/>
      </rPr>
      <t xml:space="preserve">orge Ariaz </t>
    </r>
    <r>
      <rPr>
        <u/>
        <sz val="9"/>
        <color rgb="FF0462C1"/>
        <rFont val="Trebuchet MS"/>
        <family val="2"/>
      </rPr>
      <t>jariza@atc-aviationusa.com</t>
    </r>
    <r>
      <rPr>
        <sz val="9"/>
        <color rgb="FF0462C1"/>
        <rFont val="Trebuchet MS"/>
        <family val="2"/>
      </rPr>
      <t xml:space="preserve">             </t>
    </r>
    <r>
      <rPr>
        <sz val="9"/>
        <rFont val="Trebuchet MS"/>
        <family val="2"/>
      </rPr>
      <t>+1 (786) 803-0717</t>
    </r>
  </si>
  <si>
    <t>To</t>
  </si>
  <si>
    <t>From</t>
  </si>
  <si>
    <t>Min</t>
  </si>
  <si>
    <t>N</t>
  </si>
  <si>
    <t>FCO</t>
  </si>
  <si>
    <t>JFK</t>
  </si>
  <si>
    <t>MIA</t>
  </si>
  <si>
    <t>LAX</t>
  </si>
  <si>
    <t>MXP</t>
  </si>
  <si>
    <t>ATL</t>
  </si>
  <si>
    <t>SFO</t>
  </si>
  <si>
    <t>IAH/DFW</t>
  </si>
  <si>
    <t>IAD/BOS</t>
  </si>
  <si>
    <t>ORD/CLE/CMH/CVG/DTW</t>
  </si>
  <si>
    <t>45</t>
  </si>
  <si>
    <t>100</t>
  </si>
  <si>
    <t>300</t>
  </si>
  <si>
    <t>500</t>
  </si>
  <si>
    <t>1000</t>
  </si>
  <si>
    <t>IAH</t>
  </si>
  <si>
    <t>DFW</t>
  </si>
  <si>
    <t>IAD</t>
  </si>
  <si>
    <t>BOS</t>
  </si>
  <si>
    <t>ORD</t>
  </si>
  <si>
    <t>CLE</t>
  </si>
  <si>
    <t>CMH</t>
  </si>
  <si>
    <t>CVG</t>
  </si>
  <si>
    <t>DTW</t>
  </si>
  <si>
    <t>comment</t>
  </si>
  <si>
    <t>origin_id</t>
  </si>
  <si>
    <t>commodity_id</t>
  </si>
  <si>
    <t>insert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</si>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</sst>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"/>
  </numFmts>
  <fonts count="17">
    <font>
      <sz val="10"/>
      <color rgb="FF000000"/>
      <name val="Times New Roman"/>
      <charset val="204"/>
    </font>
    <font>
      <sz val="9"/>
      <name val="Trebuchet MS"/>
    </font>
    <font>
      <sz val="9"/>
      <color rgb="FFFFFFFF"/>
      <name val="Trebuchet MS"/>
      <family val="2"/>
    </font>
    <font>
      <sz val="9"/>
      <color rgb="FF006FC0"/>
      <name val="Trebuchet MS"/>
      <family val="2"/>
    </font>
    <font>
      <i/>
      <sz val="9"/>
      <color rgb="FF006FC0"/>
      <name val="Trebuchet MS"/>
      <family val="2"/>
    </font>
    <font>
      <sz val="9"/>
      <color rgb="FF006FC0"/>
      <name val="Arial MT"/>
      <family val="2"/>
    </font>
    <font>
      <sz val="9"/>
      <color rgb="FFC00000"/>
      <name val="Segoe UI Emoji"/>
      <family val="2"/>
    </font>
    <font>
      <sz val="9"/>
      <color rgb="FFC00000"/>
      <name val="Trebuchet MS"/>
      <family val="2"/>
    </font>
    <font>
      <u/>
      <sz val="9"/>
      <color rgb="FF0462C1"/>
      <name val="Trebuchet MS"/>
      <family val="2"/>
    </font>
    <font>
      <sz val="10"/>
      <color rgb="FF006FC0"/>
      <name val="Trebuchet MS"/>
      <family val="2"/>
    </font>
    <font>
      <sz val="8"/>
      <name val="Trebuchet MS"/>
      <family val="2"/>
    </font>
    <font>
      <u/>
      <sz val="8"/>
      <color rgb="FF0462C1"/>
      <name val="Trebuchet MS"/>
      <family val="2"/>
    </font>
    <font>
      <sz val="11"/>
      <color rgb="FFC00000"/>
      <name val="Trebuchet MS"/>
      <family val="2"/>
    </font>
    <font>
      <sz val="9"/>
      <name val="Trebuchet MS"/>
      <family val="2"/>
    </font>
    <font>
      <sz val="9"/>
      <color rgb="FF0462C1"/>
      <name val="Trebuchet MS"/>
      <family val="2"/>
    </font>
    <font>
      <sz val="9"/>
      <name val="Calibri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6FC0"/>
      </patternFill>
    </fill>
    <fill>
      <patternFill patternType="solid">
        <fgColor rgb="FFF1F1F1"/>
      </patternFill>
    </fill>
    <fill>
      <patternFill patternType="solid">
        <fgColor rgb="FFE4E4E4"/>
      </patternFill>
    </fill>
  </fills>
  <borders count="7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/>
      <bottom/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/>
      <right/>
      <top/>
      <bottom style="thin">
        <color rgb="FFBEBEBE"/>
      </bottom>
      <diagonal/>
    </border>
    <border>
      <left/>
      <right/>
      <top style="thin">
        <color rgb="FF006FC0"/>
      </top>
      <bottom/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shrinkToFit="1"/>
    </xf>
    <xf numFmtId="0" fontId="1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2" fontId="3" fillId="3" borderId="1" xfId="0" applyNumberFormat="1" applyFont="1" applyFill="1" applyBorder="1" applyAlignment="1">
      <alignment horizontal="left" vertical="top" shrinkToFit="1"/>
    </xf>
    <xf numFmtId="0" fontId="1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left" vertical="top" shrinkToFit="1"/>
    </xf>
    <xf numFmtId="2" fontId="3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 indent="4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0" borderId="0" xfId="0" applyNumberFormat="1" applyFill="1" applyBorder="1" applyAlignment="1">
      <alignment horizontal="left" vertical="top"/>
    </xf>
    <xf numFmtId="0" fontId="0" fillId="0" borderId="0" xfId="0"/>
    <xf numFmtId="0" fontId="0" fillId="0" borderId="0" xfId="0" applyAlignment="1">
      <alignment horizontal="left" vertical="top"/>
    </xf>
    <xf numFmtId="0" fontId="16" fillId="0" borderId="0" xfId="0" applyFont="1"/>
  </cellXfs>
  <cellStyles count="1">
    <cellStyle name="Normal" xfId="0" builtinId="0"/>
  </cellStyles>
  <dxfs count="2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0</xdr:row>
      <xdr:rowOff>0</xdr:rowOff>
    </xdr:from>
    <xdr:ext cx="6858000" cy="215506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58000" cy="2155062"/>
        </a:xfrm>
        <a:prstGeom prst="rect">
          <a:avLst/>
        </a:prstGeom>
      </xdr:spPr>
    </xdr:pic>
    <xdr:clientData/>
  </xdr:oneCellAnchor>
  <xdr:oneCellAnchor>
    <xdr:from>
      <xdr:col>0</xdr:col>
      <xdr:colOff>887602</xdr:colOff>
      <xdr:row>1</xdr:row>
      <xdr:rowOff>362102</xdr:rowOff>
    </xdr:from>
    <xdr:ext cx="457085" cy="93281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085" cy="93281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xt\tariff\air\SWISS%20OHR%20(2).xlsx" TargetMode="External"/><Relationship Id="rId1" Type="http://schemas.openxmlformats.org/officeDocument/2006/relationships/externalLinkPath" Target="/next/tariff/air/SWISS%20OH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ulta1"/>
      <sheetName val="Hoja1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E4B6613-3C95-41A2-813B-0D3F47AC8774}" autoFormatId="16" applyNumberFormats="0" applyBorderFormats="0" applyFontFormats="0" applyPatternFormats="0" applyAlignmentFormats="0" applyWidthHeightFormats="0">
  <queryTableRefresh nextId="10">
    <queryTableFields count="9">
      <queryTableField id="1" name="To" tableColumnId="1"/>
      <queryTableField id="2" name="From" tableColumnId="2"/>
      <queryTableField id="3" name="Min" tableColumnId="3"/>
      <queryTableField id="4" name="N" tableColumnId="4"/>
      <queryTableField id="5" name="45" tableColumnId="5"/>
      <queryTableField id="6" name="100" tableColumnId="6"/>
      <queryTableField id="7" name="300" tableColumnId="7"/>
      <queryTableField id="8" name="500" tableColumnId="8"/>
      <queryTableField id="9" name="100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A7656-A816-4C04-B8C5-B863CA51C06B}" name="Tabla1_1" displayName="Tabla1_1" ref="A1:I29" tableType="queryTable" totalsRowShown="0">
  <autoFilter ref="A1:I29" xr:uid="{FD2A7656-A816-4C04-B8C5-B863CA51C06B}"/>
  <tableColumns count="9">
    <tableColumn id="1" xr3:uid="{975B7E82-3613-4593-8FF9-0CA1B89CDA01}" uniqueName="1" name="To" queryTableFieldId="1" dataDxfId="1"/>
    <tableColumn id="2" xr3:uid="{90B31ECE-9B94-4B5B-8766-8C0F1BEF3203}" uniqueName="2" name="From" queryTableFieldId="2" dataDxfId="0"/>
    <tableColumn id="3" xr3:uid="{465D8F48-9D62-4124-A2E1-05476517AB10}" uniqueName="3" name="Min" queryTableFieldId="3"/>
    <tableColumn id="4" xr3:uid="{6A66C3D0-D0C1-40FF-B58E-1FE526B20B0C}" uniqueName="4" name="N" queryTableFieldId="4"/>
    <tableColumn id="5" xr3:uid="{762116A0-CD50-40ED-BB0B-26A0889022F9}" uniqueName="5" name="45" queryTableFieldId="5"/>
    <tableColumn id="6" xr3:uid="{6EF06431-54DA-4F15-8ABC-382B41C98A59}" uniqueName="6" name="100" queryTableFieldId="6"/>
    <tableColumn id="7" xr3:uid="{D1A40491-16DA-4AAF-86E8-FF6593342BDB}" uniqueName="7" name="300" queryTableFieldId="7"/>
    <tableColumn id="8" xr3:uid="{CD9CEB69-D599-4DC9-967E-67C1AFB0BDBA}" uniqueName="8" name="500" queryTableFieldId="8"/>
    <tableColumn id="9" xr3:uid="{7BC2EF15-40ED-47AB-91C1-4B3055969C93}" uniqueName="9" name="1000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82980-325F-45E8-ACF8-C993C0E576A6}" name="Tabla1" displayName="Tabla1" ref="A1:I17" totalsRowShown="0">
  <autoFilter ref="A1:I17" xr:uid="{17382980-325F-45E8-ACF8-C993C0E576A6}"/>
  <tableColumns count="9">
    <tableColumn id="1" xr3:uid="{76B7FC2C-5DEA-4843-BDEE-4E0717BFABB0}" name="To"/>
    <tableColumn id="2" xr3:uid="{600EB578-4D3C-4B13-8AAF-0B1D8D79CAAC}" name="From"/>
    <tableColumn id="3" xr3:uid="{8EB1DC94-DD2C-4F5A-8F6A-98E7E2CD6C43}" name="Min"/>
    <tableColumn id="4" xr3:uid="{EE67EA2C-0A83-4419-959A-16D6B257F1B7}" name="N"/>
    <tableColumn id="5" xr3:uid="{CF026996-5F2F-4D5D-95BE-C9EF06F34822}" name="45"/>
    <tableColumn id="6" xr3:uid="{89B5A4C5-0097-41EA-8C7B-8C7B6C2AC845}" name="100"/>
    <tableColumn id="7" xr3:uid="{D7A6C26F-31D1-4EC5-8710-24970EEAC0B6}" name="300"/>
    <tableColumn id="8" xr3:uid="{1AF3F7A1-AE68-4976-8362-50FB2E85EFB1}" name="500"/>
    <tableColumn id="9" xr3:uid="{3EE3931C-FD6B-4CE8-87D2-F76CF9EA097E}" name="1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ta-airways-cargo.com/s/flight-schedules?language=en_U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et-airways-stl.com/AngularPublic/dslscreen/index.html?code=fhUPKdzgn7LwlkkJ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zcargo@atc-aviation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28.5" customWidth="1"/>
  </cols>
  <sheetData>
    <row r="1" spans="1:1" ht="38.1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33203125" defaultRowHeight="12.75"/>
  <cols>
    <col min="1" max="1" width="128.5" customWidth="1"/>
  </cols>
  <sheetData>
    <row r="1" spans="1:1" ht="15" customHeight="1">
      <c r="A1" s="1" t="s">
        <v>1</v>
      </c>
    </row>
  </sheetData>
  <hyperlinks>
    <hyperlink ref="A1" r:id="rId1" display="https://www.ita-airways-cargo.com/s/flight-schedules?language=en_US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sqref="A1:I17"/>
    </sheetView>
  </sheetViews>
  <sheetFormatPr baseColWidth="10" defaultColWidth="9.33203125" defaultRowHeight="12.75"/>
  <cols>
    <col min="1" max="1" width="13.33203125" customWidth="1"/>
    <col min="2" max="2" width="19.83203125" customWidth="1"/>
    <col min="3" max="3" width="13.5" customWidth="1"/>
    <col min="4" max="4" width="11.33203125" customWidth="1"/>
    <col min="5" max="8" width="12.6640625" customWidth="1"/>
    <col min="9" max="9" width="14" customWidth="1"/>
  </cols>
  <sheetData>
    <row r="1" spans="1:9" ht="13.5" customHeight="1">
      <c r="A1" s="2" t="s">
        <v>2</v>
      </c>
      <c r="B1" s="2" t="s">
        <v>3</v>
      </c>
      <c r="C1" s="2" t="s">
        <v>4</v>
      </c>
      <c r="D1" s="2" t="s">
        <v>5</v>
      </c>
      <c r="E1" s="3">
        <v>45</v>
      </c>
      <c r="F1" s="3">
        <v>100</v>
      </c>
      <c r="G1" s="3">
        <v>300</v>
      </c>
      <c r="H1" s="3">
        <v>500</v>
      </c>
      <c r="I1" s="3">
        <v>1000</v>
      </c>
    </row>
    <row r="2" spans="1:9" ht="14.25" customHeight="1">
      <c r="A2" s="14" t="s">
        <v>6</v>
      </c>
      <c r="B2" s="4" t="s">
        <v>7</v>
      </c>
      <c r="C2" s="5">
        <v>100</v>
      </c>
      <c r="D2" s="6">
        <v>0.9</v>
      </c>
      <c r="E2" s="6">
        <v>0.9</v>
      </c>
      <c r="F2" s="6">
        <v>0.9</v>
      </c>
      <c r="G2" s="6">
        <v>0.85</v>
      </c>
      <c r="H2" s="6">
        <v>0.8</v>
      </c>
      <c r="I2" s="6">
        <v>0.7</v>
      </c>
    </row>
    <row r="3" spans="1:9" ht="12.75" customHeight="1">
      <c r="A3" s="15"/>
      <c r="B3" s="7" t="s">
        <v>8</v>
      </c>
      <c r="C3" s="8">
        <v>100</v>
      </c>
      <c r="D3" s="9">
        <v>1.3</v>
      </c>
      <c r="E3" s="9">
        <v>1.3</v>
      </c>
      <c r="F3" s="9">
        <v>1.3</v>
      </c>
      <c r="G3" s="9">
        <v>1.2</v>
      </c>
      <c r="H3" s="9">
        <v>1.1000000000000001</v>
      </c>
      <c r="I3" s="9">
        <v>1</v>
      </c>
    </row>
    <row r="4" spans="1:9" ht="12.75" customHeight="1">
      <c r="A4" s="16"/>
      <c r="B4" s="4" t="s">
        <v>9</v>
      </c>
      <c r="C4" s="5">
        <v>100</v>
      </c>
      <c r="D4" s="6">
        <v>1.45</v>
      </c>
      <c r="E4" s="6">
        <v>1.45</v>
      </c>
      <c r="F4" s="6">
        <v>1.25</v>
      </c>
      <c r="G4" s="6">
        <v>1.1499999999999999</v>
      </c>
      <c r="H4" s="6">
        <v>1.05</v>
      </c>
      <c r="I4" s="6">
        <v>0.95</v>
      </c>
    </row>
    <row r="5" spans="1:9" ht="15.2" customHeight="1">
      <c r="A5" s="17" t="s">
        <v>10</v>
      </c>
      <c r="B5" s="7" t="s">
        <v>7</v>
      </c>
      <c r="C5" s="8">
        <v>100</v>
      </c>
      <c r="D5" s="9">
        <v>0.95</v>
      </c>
      <c r="E5" s="9">
        <v>0.95</v>
      </c>
      <c r="F5" s="9">
        <v>0.95</v>
      </c>
      <c r="G5" s="9">
        <v>0.95</v>
      </c>
      <c r="H5" s="9">
        <v>0.88</v>
      </c>
      <c r="I5" s="9">
        <v>0.78</v>
      </c>
    </row>
    <row r="6" spans="1:9" ht="12.75" customHeight="1">
      <c r="A6" s="18"/>
      <c r="B6" s="4" t="s">
        <v>8</v>
      </c>
      <c r="C6" s="5">
        <v>100</v>
      </c>
      <c r="D6" s="6">
        <v>1.25</v>
      </c>
      <c r="E6" s="6">
        <v>1.25</v>
      </c>
      <c r="F6" s="6">
        <v>1.25</v>
      </c>
      <c r="G6" s="6">
        <v>1.1499999999999999</v>
      </c>
      <c r="H6" s="6">
        <v>1.05</v>
      </c>
      <c r="I6" s="6">
        <v>0.95</v>
      </c>
    </row>
    <row r="7" spans="1:9" ht="12.75" customHeight="1">
      <c r="A7" s="19"/>
      <c r="B7" s="7" t="s">
        <v>9</v>
      </c>
      <c r="C7" s="8">
        <v>100</v>
      </c>
      <c r="D7" s="9">
        <v>1.5</v>
      </c>
      <c r="E7" s="9">
        <v>1.5</v>
      </c>
      <c r="F7" s="9">
        <v>1.3</v>
      </c>
      <c r="G7" s="9">
        <v>1.2</v>
      </c>
      <c r="H7" s="9">
        <v>1.1000000000000001</v>
      </c>
      <c r="I7" s="9">
        <v>1</v>
      </c>
    </row>
    <row r="8" spans="1:9" ht="15">
      <c r="A8" s="21" t="s">
        <v>6</v>
      </c>
      <c r="B8" s="4" t="s">
        <v>12</v>
      </c>
      <c r="C8" s="5">
        <v>130</v>
      </c>
      <c r="D8" s="6">
        <v>2.89</v>
      </c>
      <c r="E8" s="6">
        <v>2.89</v>
      </c>
      <c r="F8" s="6">
        <v>0.95</v>
      </c>
      <c r="G8" s="6">
        <v>0.9</v>
      </c>
      <c r="H8" s="6">
        <v>0.85</v>
      </c>
      <c r="I8" s="6">
        <v>0.8</v>
      </c>
    </row>
    <row r="9" spans="1:9" ht="15">
      <c r="A9" s="22"/>
      <c r="B9" s="7" t="s">
        <v>13</v>
      </c>
      <c r="C9" s="8">
        <v>130</v>
      </c>
      <c r="D9" s="9">
        <v>2.89</v>
      </c>
      <c r="E9" s="9">
        <v>2.89</v>
      </c>
      <c r="F9" s="9">
        <v>0.97</v>
      </c>
      <c r="G9" s="9">
        <v>0.97</v>
      </c>
      <c r="H9" s="9">
        <v>0.97</v>
      </c>
      <c r="I9" s="9">
        <v>0.97</v>
      </c>
    </row>
    <row r="10" spans="1:9" ht="15">
      <c r="A10" s="22"/>
      <c r="B10" s="4" t="s">
        <v>14</v>
      </c>
      <c r="C10" s="5">
        <v>130</v>
      </c>
      <c r="D10" s="6">
        <v>2.89</v>
      </c>
      <c r="E10" s="6">
        <v>2.89</v>
      </c>
      <c r="F10" s="6">
        <v>1</v>
      </c>
      <c r="G10" s="6">
        <v>0.95</v>
      </c>
      <c r="H10" s="6">
        <v>0.9</v>
      </c>
      <c r="I10" s="6">
        <v>0.8</v>
      </c>
    </row>
    <row r="11" spans="1:9" ht="30">
      <c r="A11" s="22"/>
      <c r="B11" s="10" t="s">
        <v>15</v>
      </c>
      <c r="C11" s="8">
        <v>130</v>
      </c>
      <c r="D11" s="9">
        <v>2.89</v>
      </c>
      <c r="E11" s="9">
        <v>2.89</v>
      </c>
      <c r="F11" s="9">
        <v>1.1499999999999999</v>
      </c>
      <c r="G11" s="9">
        <v>1.1499999999999999</v>
      </c>
      <c r="H11" s="9">
        <v>1.1499999999999999</v>
      </c>
      <c r="I11" s="9">
        <v>1.1499999999999999</v>
      </c>
    </row>
    <row r="12" spans="1:9" ht="15">
      <c r="A12" s="23"/>
      <c r="B12" s="4" t="s">
        <v>16</v>
      </c>
      <c r="C12" s="5">
        <v>130</v>
      </c>
      <c r="D12" s="6">
        <v>2.89</v>
      </c>
      <c r="E12" s="6">
        <v>2.89</v>
      </c>
      <c r="F12" s="6">
        <v>1.25</v>
      </c>
      <c r="G12" s="6">
        <v>1.25</v>
      </c>
      <c r="H12" s="6">
        <v>1.1499999999999999</v>
      </c>
      <c r="I12" s="6">
        <v>1.1000000000000001</v>
      </c>
    </row>
    <row r="13" spans="1:9" ht="15">
      <c r="A13" s="24" t="s">
        <v>10</v>
      </c>
      <c r="B13" s="7" t="s">
        <v>12</v>
      </c>
      <c r="C13" s="8">
        <v>130</v>
      </c>
      <c r="D13" s="9">
        <v>2.89</v>
      </c>
      <c r="E13" s="9">
        <v>2.89</v>
      </c>
      <c r="F13" s="9">
        <v>1.1499999999999999</v>
      </c>
      <c r="G13" s="9">
        <v>1.1000000000000001</v>
      </c>
      <c r="H13" s="9">
        <v>1.05</v>
      </c>
      <c r="I13" s="9">
        <v>1</v>
      </c>
    </row>
    <row r="14" spans="1:9" ht="15">
      <c r="A14" s="25"/>
      <c r="B14" s="4" t="s">
        <v>13</v>
      </c>
      <c r="C14" s="5">
        <v>130</v>
      </c>
      <c r="D14" s="6">
        <v>2.89</v>
      </c>
      <c r="E14" s="6">
        <v>2.89</v>
      </c>
      <c r="F14" s="6">
        <v>1.1499999999999999</v>
      </c>
      <c r="G14" s="6">
        <v>1.1499999999999999</v>
      </c>
      <c r="H14" s="6">
        <v>1.1499999999999999</v>
      </c>
      <c r="I14" s="6">
        <v>1.1499999999999999</v>
      </c>
    </row>
    <row r="15" spans="1:9" ht="15">
      <c r="A15" s="25"/>
      <c r="B15" s="7" t="s">
        <v>14</v>
      </c>
      <c r="C15" s="8">
        <v>130</v>
      </c>
      <c r="D15" s="9">
        <v>2.89</v>
      </c>
      <c r="E15" s="9">
        <v>2.89</v>
      </c>
      <c r="F15" s="9">
        <v>1.05</v>
      </c>
      <c r="G15" s="9">
        <v>1</v>
      </c>
      <c r="H15" s="9">
        <v>0.95</v>
      </c>
      <c r="I15" s="9">
        <v>0.85</v>
      </c>
    </row>
    <row r="16" spans="1:9" ht="30">
      <c r="A16" s="25"/>
      <c r="B16" s="11" t="s">
        <v>15</v>
      </c>
      <c r="C16" s="5">
        <v>130</v>
      </c>
      <c r="D16" s="6">
        <v>2.89</v>
      </c>
      <c r="E16" s="6">
        <v>2.89</v>
      </c>
      <c r="F16" s="6">
        <v>1.1499999999999999</v>
      </c>
      <c r="G16" s="6">
        <v>1.1499999999999999</v>
      </c>
      <c r="H16" s="6">
        <v>1.1499999999999999</v>
      </c>
      <c r="I16" s="6">
        <v>1.1499999999999999</v>
      </c>
    </row>
    <row r="17" spans="1:9" ht="15">
      <c r="A17" s="26"/>
      <c r="B17" s="7" t="s">
        <v>16</v>
      </c>
      <c r="C17" s="8">
        <v>130</v>
      </c>
      <c r="D17" s="9">
        <v>2.89</v>
      </c>
      <c r="E17" s="9">
        <v>2.89</v>
      </c>
      <c r="F17" s="9">
        <v>1.3</v>
      </c>
      <c r="G17" s="9">
        <v>1.3</v>
      </c>
      <c r="H17" s="9">
        <v>1.25</v>
      </c>
      <c r="I17" s="9">
        <v>1.1499999999999999</v>
      </c>
    </row>
  </sheetData>
  <mergeCells count="4">
    <mergeCell ref="A2:A4"/>
    <mergeCell ref="A5:A7"/>
    <mergeCell ref="A8:A12"/>
    <mergeCell ref="A13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B3F3-940F-4ACC-8C2E-4783F747AEBD}">
  <dimension ref="A1:I29"/>
  <sheetViews>
    <sheetView workbookViewId="0">
      <selection sqref="A1:I29"/>
    </sheetView>
  </sheetViews>
  <sheetFormatPr baseColWidth="10" defaultRowHeight="12.75"/>
  <cols>
    <col min="1" max="1" width="6.1640625" bestFit="1" customWidth="1"/>
    <col min="2" max="2" width="8.6640625" bestFit="1" customWidth="1"/>
    <col min="3" max="3" width="7.5" bestFit="1" customWidth="1"/>
    <col min="4" max="4" width="5.33203125" bestFit="1" customWidth="1"/>
    <col min="5" max="5" width="6.1640625" bestFit="1" customWidth="1"/>
    <col min="6" max="8" width="7.33203125" bestFit="1" customWidth="1"/>
    <col min="9" max="9" width="8.5" bestFit="1" customWidth="1"/>
  </cols>
  <sheetData>
    <row r="1" spans="1:9">
      <c r="A1" t="s">
        <v>18</v>
      </c>
      <c r="B1" t="s">
        <v>19</v>
      </c>
      <c r="C1" t="s">
        <v>20</v>
      </c>
      <c r="D1" t="s">
        <v>21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 s="27" t="s">
        <v>22</v>
      </c>
      <c r="B2" s="27" t="s">
        <v>23</v>
      </c>
      <c r="C2">
        <v>100</v>
      </c>
      <c r="D2">
        <v>0.9</v>
      </c>
      <c r="E2">
        <v>0.9</v>
      </c>
      <c r="F2">
        <v>0.9</v>
      </c>
      <c r="G2">
        <v>0.85</v>
      </c>
      <c r="H2">
        <v>0.8</v>
      </c>
      <c r="I2">
        <v>0.7</v>
      </c>
    </row>
    <row r="3" spans="1:9">
      <c r="A3" s="27" t="s">
        <v>22</v>
      </c>
      <c r="B3" s="27" t="s">
        <v>24</v>
      </c>
      <c r="C3">
        <v>100</v>
      </c>
      <c r="D3">
        <v>1.3</v>
      </c>
      <c r="E3">
        <v>1.3</v>
      </c>
      <c r="F3">
        <v>1.3</v>
      </c>
      <c r="G3">
        <v>1.2</v>
      </c>
      <c r="H3">
        <v>1.1000000000000001</v>
      </c>
      <c r="I3">
        <v>1</v>
      </c>
    </row>
    <row r="4" spans="1:9">
      <c r="A4" s="27" t="s">
        <v>22</v>
      </c>
      <c r="B4" s="27" t="s">
        <v>25</v>
      </c>
      <c r="C4">
        <v>100</v>
      </c>
      <c r="D4">
        <v>1.45</v>
      </c>
      <c r="E4">
        <v>1.45</v>
      </c>
      <c r="F4">
        <v>1.25</v>
      </c>
      <c r="G4">
        <v>1.1499999999999999</v>
      </c>
      <c r="H4">
        <v>1.05</v>
      </c>
      <c r="I4">
        <v>0.95</v>
      </c>
    </row>
    <row r="5" spans="1:9">
      <c r="A5" s="27" t="s">
        <v>26</v>
      </c>
      <c r="B5" s="27" t="s">
        <v>23</v>
      </c>
      <c r="C5">
        <v>100</v>
      </c>
      <c r="D5">
        <v>0.95</v>
      </c>
      <c r="E5">
        <v>0.95</v>
      </c>
      <c r="F5">
        <v>0.95</v>
      </c>
      <c r="G5">
        <v>0.95</v>
      </c>
      <c r="H5">
        <v>0.88</v>
      </c>
      <c r="I5">
        <v>0.78</v>
      </c>
    </row>
    <row r="6" spans="1:9">
      <c r="A6" s="27" t="s">
        <v>26</v>
      </c>
      <c r="B6" s="27" t="s">
        <v>24</v>
      </c>
      <c r="C6">
        <v>100</v>
      </c>
      <c r="D6">
        <v>1.25</v>
      </c>
      <c r="E6">
        <v>1.25</v>
      </c>
      <c r="F6">
        <v>1.25</v>
      </c>
      <c r="G6">
        <v>1.1499999999999999</v>
      </c>
      <c r="H6">
        <v>1.05</v>
      </c>
      <c r="I6">
        <v>0.95</v>
      </c>
    </row>
    <row r="7" spans="1:9">
      <c r="A7" s="27" t="s">
        <v>26</v>
      </c>
      <c r="B7" s="27" t="s">
        <v>25</v>
      </c>
      <c r="C7">
        <v>100</v>
      </c>
      <c r="D7">
        <v>1.5</v>
      </c>
      <c r="E7">
        <v>1.5</v>
      </c>
      <c r="F7">
        <v>1.3</v>
      </c>
      <c r="G7">
        <v>1.2</v>
      </c>
      <c r="H7">
        <v>1.1000000000000001</v>
      </c>
      <c r="I7">
        <v>1</v>
      </c>
    </row>
    <row r="8" spans="1:9">
      <c r="A8" s="27" t="s">
        <v>22</v>
      </c>
      <c r="B8" s="27" t="s">
        <v>27</v>
      </c>
      <c r="C8">
        <v>130</v>
      </c>
      <c r="D8">
        <v>2.89</v>
      </c>
      <c r="E8">
        <v>2.89</v>
      </c>
      <c r="F8">
        <v>0.95</v>
      </c>
      <c r="G8">
        <v>0.9</v>
      </c>
      <c r="H8">
        <v>0.85</v>
      </c>
      <c r="I8">
        <v>0.8</v>
      </c>
    </row>
    <row r="9" spans="1:9">
      <c r="A9" s="27" t="s">
        <v>22</v>
      </c>
      <c r="B9" s="27" t="s">
        <v>37</v>
      </c>
      <c r="C9">
        <v>130</v>
      </c>
      <c r="D9">
        <v>2.89</v>
      </c>
      <c r="E9">
        <v>2.89</v>
      </c>
      <c r="F9">
        <v>0.97</v>
      </c>
      <c r="G9">
        <v>0.97</v>
      </c>
      <c r="H9">
        <v>0.97</v>
      </c>
      <c r="I9">
        <v>0.97</v>
      </c>
    </row>
    <row r="10" spans="1:9">
      <c r="A10" s="27" t="s">
        <v>22</v>
      </c>
      <c r="B10" s="27" t="s">
        <v>38</v>
      </c>
      <c r="C10">
        <v>130</v>
      </c>
      <c r="D10">
        <v>2.89</v>
      </c>
      <c r="E10">
        <v>2.89</v>
      </c>
      <c r="F10">
        <v>0.97</v>
      </c>
      <c r="G10">
        <v>0.97</v>
      </c>
      <c r="H10">
        <v>0.97</v>
      </c>
      <c r="I10">
        <v>0.97</v>
      </c>
    </row>
    <row r="11" spans="1:9">
      <c r="A11" s="27" t="s">
        <v>22</v>
      </c>
      <c r="B11" s="27" t="s">
        <v>39</v>
      </c>
      <c r="C11">
        <v>130</v>
      </c>
      <c r="D11">
        <v>2.89</v>
      </c>
      <c r="E11">
        <v>2.89</v>
      </c>
      <c r="F11">
        <v>1</v>
      </c>
      <c r="G11">
        <v>0.95</v>
      </c>
      <c r="H11">
        <v>0.9</v>
      </c>
      <c r="I11">
        <v>0.8</v>
      </c>
    </row>
    <row r="12" spans="1:9">
      <c r="A12" s="27" t="s">
        <v>22</v>
      </c>
      <c r="B12" s="27" t="s">
        <v>40</v>
      </c>
      <c r="C12">
        <v>130</v>
      </c>
      <c r="D12">
        <v>2.89</v>
      </c>
      <c r="E12">
        <v>2.89</v>
      </c>
      <c r="F12">
        <v>1</v>
      </c>
      <c r="G12">
        <v>0.95</v>
      </c>
      <c r="H12">
        <v>0.9</v>
      </c>
      <c r="I12">
        <v>0.8</v>
      </c>
    </row>
    <row r="13" spans="1:9">
      <c r="A13" s="27" t="s">
        <v>22</v>
      </c>
      <c r="B13" s="27" t="s">
        <v>41</v>
      </c>
      <c r="C13">
        <v>130</v>
      </c>
      <c r="D13">
        <v>2.89</v>
      </c>
      <c r="E13">
        <v>2.89</v>
      </c>
      <c r="F13">
        <v>1.1499999999999999</v>
      </c>
      <c r="G13">
        <v>1.1499999999999999</v>
      </c>
      <c r="H13">
        <v>1.1499999999999999</v>
      </c>
      <c r="I13">
        <v>1.1499999999999999</v>
      </c>
    </row>
    <row r="14" spans="1:9">
      <c r="A14" s="27" t="s">
        <v>22</v>
      </c>
      <c r="B14" s="27" t="s">
        <v>42</v>
      </c>
      <c r="C14">
        <v>130</v>
      </c>
      <c r="D14">
        <v>2.89</v>
      </c>
      <c r="E14">
        <v>2.89</v>
      </c>
      <c r="F14">
        <v>1.1499999999999999</v>
      </c>
      <c r="G14">
        <v>1.1499999999999999</v>
      </c>
      <c r="H14">
        <v>1.1499999999999999</v>
      </c>
      <c r="I14">
        <v>1.1499999999999999</v>
      </c>
    </row>
    <row r="15" spans="1:9">
      <c r="A15" s="27" t="s">
        <v>22</v>
      </c>
      <c r="B15" s="27" t="s">
        <v>43</v>
      </c>
      <c r="C15">
        <v>130</v>
      </c>
      <c r="D15">
        <v>2.89</v>
      </c>
      <c r="E15">
        <v>2.89</v>
      </c>
      <c r="F15">
        <v>1.1499999999999999</v>
      </c>
      <c r="G15">
        <v>1.1499999999999999</v>
      </c>
      <c r="H15">
        <v>1.1499999999999999</v>
      </c>
      <c r="I15">
        <v>1.1499999999999999</v>
      </c>
    </row>
    <row r="16" spans="1:9">
      <c r="A16" s="27" t="s">
        <v>22</v>
      </c>
      <c r="B16" s="27" t="s">
        <v>44</v>
      </c>
      <c r="C16">
        <v>130</v>
      </c>
      <c r="D16">
        <v>2.89</v>
      </c>
      <c r="E16">
        <v>2.89</v>
      </c>
      <c r="F16">
        <v>1.1499999999999999</v>
      </c>
      <c r="G16">
        <v>1.1499999999999999</v>
      </c>
      <c r="H16">
        <v>1.1499999999999999</v>
      </c>
      <c r="I16">
        <v>1.1499999999999999</v>
      </c>
    </row>
    <row r="17" spans="1:9">
      <c r="A17" s="27" t="s">
        <v>22</v>
      </c>
      <c r="B17" s="27" t="s">
        <v>45</v>
      </c>
      <c r="C17">
        <v>130</v>
      </c>
      <c r="D17">
        <v>2.89</v>
      </c>
      <c r="E17">
        <v>2.89</v>
      </c>
      <c r="F17">
        <v>1.1499999999999999</v>
      </c>
      <c r="G17">
        <v>1.1499999999999999</v>
      </c>
      <c r="H17">
        <v>1.1499999999999999</v>
      </c>
      <c r="I17">
        <v>1.1499999999999999</v>
      </c>
    </row>
    <row r="18" spans="1:9">
      <c r="A18" s="27" t="s">
        <v>22</v>
      </c>
      <c r="B18" s="27" t="s">
        <v>28</v>
      </c>
      <c r="C18">
        <v>130</v>
      </c>
      <c r="D18">
        <v>2.89</v>
      </c>
      <c r="E18">
        <v>2.89</v>
      </c>
      <c r="F18">
        <v>1.25</v>
      </c>
      <c r="G18">
        <v>1.25</v>
      </c>
      <c r="H18">
        <v>1.1499999999999999</v>
      </c>
      <c r="I18">
        <v>1.1000000000000001</v>
      </c>
    </row>
    <row r="19" spans="1:9">
      <c r="A19" s="27" t="s">
        <v>26</v>
      </c>
      <c r="B19" s="27" t="s">
        <v>27</v>
      </c>
      <c r="C19">
        <v>130</v>
      </c>
      <c r="D19">
        <v>2.89</v>
      </c>
      <c r="E19">
        <v>2.89</v>
      </c>
      <c r="F19">
        <v>1.1499999999999999</v>
      </c>
      <c r="G19">
        <v>1.1000000000000001</v>
      </c>
      <c r="H19">
        <v>1.05</v>
      </c>
      <c r="I19">
        <v>1</v>
      </c>
    </row>
    <row r="20" spans="1:9">
      <c r="A20" s="27" t="s">
        <v>26</v>
      </c>
      <c r="B20" s="27" t="s">
        <v>37</v>
      </c>
      <c r="C20">
        <v>130</v>
      </c>
      <c r="D20">
        <v>2.89</v>
      </c>
      <c r="E20">
        <v>2.89</v>
      </c>
      <c r="F20">
        <v>1.1499999999999999</v>
      </c>
      <c r="G20">
        <v>1.1499999999999999</v>
      </c>
      <c r="H20">
        <v>1.1499999999999999</v>
      </c>
      <c r="I20">
        <v>1.1499999999999999</v>
      </c>
    </row>
    <row r="21" spans="1:9">
      <c r="A21" s="27" t="s">
        <v>26</v>
      </c>
      <c r="B21" s="27" t="s">
        <v>38</v>
      </c>
      <c r="C21">
        <v>130</v>
      </c>
      <c r="D21">
        <v>2.89</v>
      </c>
      <c r="E21">
        <v>2.89</v>
      </c>
      <c r="F21">
        <v>1.1499999999999999</v>
      </c>
      <c r="G21">
        <v>1.1499999999999999</v>
      </c>
      <c r="H21">
        <v>1.1499999999999999</v>
      </c>
      <c r="I21">
        <v>1.1499999999999999</v>
      </c>
    </row>
    <row r="22" spans="1:9">
      <c r="A22" s="27" t="s">
        <v>26</v>
      </c>
      <c r="B22" s="27" t="s">
        <v>39</v>
      </c>
      <c r="C22">
        <v>130</v>
      </c>
      <c r="D22">
        <v>2.89</v>
      </c>
      <c r="E22">
        <v>2.89</v>
      </c>
      <c r="F22">
        <v>1.05</v>
      </c>
      <c r="G22">
        <v>1</v>
      </c>
      <c r="H22">
        <v>0.95</v>
      </c>
      <c r="I22">
        <v>0.85</v>
      </c>
    </row>
    <row r="23" spans="1:9">
      <c r="A23" s="27" t="s">
        <v>26</v>
      </c>
      <c r="B23" s="27" t="s">
        <v>40</v>
      </c>
      <c r="C23">
        <v>130</v>
      </c>
      <c r="D23">
        <v>2.89</v>
      </c>
      <c r="E23">
        <v>2.89</v>
      </c>
      <c r="F23">
        <v>1.05</v>
      </c>
      <c r="G23">
        <v>1</v>
      </c>
      <c r="H23">
        <v>0.95</v>
      </c>
      <c r="I23">
        <v>0.85</v>
      </c>
    </row>
    <row r="24" spans="1:9">
      <c r="A24" s="27" t="s">
        <v>26</v>
      </c>
      <c r="B24" s="27" t="s">
        <v>41</v>
      </c>
      <c r="C24">
        <v>130</v>
      </c>
      <c r="D24">
        <v>2.89</v>
      </c>
      <c r="E24">
        <v>2.89</v>
      </c>
      <c r="F24">
        <v>1.1499999999999999</v>
      </c>
      <c r="G24">
        <v>1.1499999999999999</v>
      </c>
      <c r="H24">
        <v>1.1499999999999999</v>
      </c>
      <c r="I24">
        <v>1.1499999999999999</v>
      </c>
    </row>
    <row r="25" spans="1:9">
      <c r="A25" s="27" t="s">
        <v>26</v>
      </c>
      <c r="B25" s="27" t="s">
        <v>42</v>
      </c>
      <c r="C25">
        <v>130</v>
      </c>
      <c r="D25">
        <v>2.89</v>
      </c>
      <c r="E25">
        <v>2.89</v>
      </c>
      <c r="F25">
        <v>1.1499999999999999</v>
      </c>
      <c r="G25">
        <v>1.1499999999999999</v>
      </c>
      <c r="H25">
        <v>1.1499999999999999</v>
      </c>
      <c r="I25">
        <v>1.1499999999999999</v>
      </c>
    </row>
    <row r="26" spans="1:9">
      <c r="A26" s="27" t="s">
        <v>26</v>
      </c>
      <c r="B26" s="27" t="s">
        <v>43</v>
      </c>
      <c r="C26">
        <v>130</v>
      </c>
      <c r="D26">
        <v>2.89</v>
      </c>
      <c r="E26">
        <v>2.89</v>
      </c>
      <c r="F26">
        <v>1.1499999999999999</v>
      </c>
      <c r="G26">
        <v>1.1499999999999999</v>
      </c>
      <c r="H26">
        <v>1.1499999999999999</v>
      </c>
      <c r="I26">
        <v>1.1499999999999999</v>
      </c>
    </row>
    <row r="27" spans="1:9">
      <c r="A27" s="27" t="s">
        <v>26</v>
      </c>
      <c r="B27" s="27" t="s">
        <v>44</v>
      </c>
      <c r="C27">
        <v>130</v>
      </c>
      <c r="D27">
        <v>2.89</v>
      </c>
      <c r="E27">
        <v>2.89</v>
      </c>
      <c r="F27">
        <v>1.1499999999999999</v>
      </c>
      <c r="G27">
        <v>1.1499999999999999</v>
      </c>
      <c r="H27">
        <v>1.1499999999999999</v>
      </c>
      <c r="I27">
        <v>1.1499999999999999</v>
      </c>
    </row>
    <row r="28" spans="1:9">
      <c r="A28" s="27" t="s">
        <v>26</v>
      </c>
      <c r="B28" s="27" t="s">
        <v>45</v>
      </c>
      <c r="C28">
        <v>130</v>
      </c>
      <c r="D28">
        <v>2.89</v>
      </c>
      <c r="E28">
        <v>2.89</v>
      </c>
      <c r="F28">
        <v>1.1499999999999999</v>
      </c>
      <c r="G28">
        <v>1.1499999999999999</v>
      </c>
      <c r="H28">
        <v>1.1499999999999999</v>
      </c>
      <c r="I28">
        <v>1.1499999999999999</v>
      </c>
    </row>
    <row r="29" spans="1:9">
      <c r="A29" s="27" t="s">
        <v>26</v>
      </c>
      <c r="B29" s="27" t="s">
        <v>28</v>
      </c>
      <c r="C29">
        <v>130</v>
      </c>
      <c r="D29">
        <v>2.89</v>
      </c>
      <c r="E29">
        <v>2.89</v>
      </c>
      <c r="F29">
        <v>1.3</v>
      </c>
      <c r="G29">
        <v>1.3</v>
      </c>
      <c r="H29">
        <v>1.25</v>
      </c>
      <c r="I29">
        <v>1.1499999999999999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E991-6B95-4A7F-9000-871C35223DEA}">
  <dimension ref="A1:P29"/>
  <sheetViews>
    <sheetView tabSelected="1" workbookViewId="0">
      <selection activeCell="O2" sqref="O2:O29"/>
    </sheetView>
  </sheetViews>
  <sheetFormatPr baseColWidth="10" defaultRowHeight="12.75"/>
  <sheetData>
    <row r="1" spans="1:16">
      <c r="A1" t="s">
        <v>18</v>
      </c>
      <c r="B1" t="s">
        <v>19</v>
      </c>
      <c r="E1" t="s">
        <v>20</v>
      </c>
      <c r="F1" t="s">
        <v>21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s="29" t="s">
        <v>46</v>
      </c>
      <c r="M1" s="29" t="s">
        <v>47</v>
      </c>
      <c r="N1" s="29" t="s">
        <v>48</v>
      </c>
      <c r="O1" s="29" t="s">
        <v>49</v>
      </c>
      <c r="P1" s="29" t="s">
        <v>50</v>
      </c>
    </row>
    <row r="2" spans="1:16">
      <c r="A2" t="s">
        <v>22</v>
      </c>
      <c r="B2" t="s">
        <v>23</v>
      </c>
      <c r="C2" s="28">
        <f>VLOOKUP(B2,[1]!Consulta1[#All],2,FALSE)</f>
        <v>468</v>
      </c>
      <c r="E2">
        <v>100</v>
      </c>
      <c r="F2">
        <v>0.9</v>
      </c>
      <c r="G2">
        <v>0.9</v>
      </c>
      <c r="H2">
        <v>0.9</v>
      </c>
      <c r="I2">
        <v>0.85</v>
      </c>
      <c r="J2">
        <v>0.8</v>
      </c>
      <c r="K2">
        <v>0.7</v>
      </c>
      <c r="L2" s="30" t="str">
        <f>CONCATENATE("&lt;p&gt;ITA 1.3 Rates all in, valid for General Cargo, Known Shipper only, screening is additional $0.10 if tendered unscreened&lt;/p&gt;&lt;p&gt;SFO drop station: 632 West Field Rd&lt;br&gt;Narrowbody service: MAX DIMS (inches) 61”L X 59W X 42”H – max pc weight 900Kg (",Q34,")&lt;/p&gt;")</f>
        <v>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</v>
      </c>
      <c r="M2" s="28">
        <f>VLOOKUP(A2,[1]!Consulta1[#All],2,FALSE)</f>
        <v>50961</v>
      </c>
      <c r="N2" s="29">
        <v>4</v>
      </c>
      <c r="O2" s="28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('",M2,"','",C2,"','8265','8299','",$N$2,"','",E2,"','",F2,"','",$L$2,"',1,1,3,'",G2,"','",H2,"','",I2,"','",J2,"','",K2,"','2026-01-31',now(),now(),2,'",P2,"','1');")</f>
        <v>insert tariffs (origin_id,destin_id,provider_id,airline_id,comodity_id,min,n,comments,active,user_id,type_tariff,forty_five_more,hundred_more,three_hundred_more,five_hundred_more,thousand_more,f_end,created_at,updated_at,airchaft,cost, offer) values ('50961','468','8265','8299','4','100','0.9','&lt;p&gt;ITA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()&lt;/p&gt;',1,1,3,'0.9','0.9','0.85','0.8','0.7','2026-01-31',now(),now(),2,'0.1','1');</v>
      </c>
      <c r="P2" s="29">
        <v>0.1</v>
      </c>
    </row>
    <row r="3" spans="1:16">
      <c r="A3" t="s">
        <v>22</v>
      </c>
      <c r="B3" t="s">
        <v>24</v>
      </c>
      <c r="C3" s="28">
        <f>VLOOKUP(B3,[1]!Consulta1[#All],2,FALSE)</f>
        <v>428</v>
      </c>
      <c r="E3">
        <v>100</v>
      </c>
      <c r="F3">
        <v>1.3</v>
      </c>
      <c r="G3">
        <v>1.3</v>
      </c>
      <c r="H3">
        <v>1.3</v>
      </c>
      <c r="I3">
        <v>1.2</v>
      </c>
      <c r="J3">
        <v>1.1000000000000001</v>
      </c>
      <c r="K3">
        <v>1</v>
      </c>
      <c r="M3" s="28">
        <f>VLOOKUP(A3,[1]!Consulta1[#All],2,FALSE)</f>
        <v>50961</v>
      </c>
      <c r="O3" s="28" t="str">
        <f t="shared" ref="O3:O29" si="0">CONCATENATE("insert tariffs (origin_id,destin_id,provider_id,airline_id,comodity_id,min,n,comments,active,user_id,type_tariff,forty_five_more,hundred_more,three_hundred_more,five_hundred_more,thousand_more,f_end,created_at,updated_at,airchaft,cost, offer) values ('",M3,"','",C3,"','8265','8299','",$N$2,"','",E3,"','",F3,"','",$L$2,"',1,1,3,'",G3,"','",H3,"','",I3,"','",J3,"','",K3,"','2026-01-31',now(),now(),2,'",P3,"','1');")</f>
        <v>insert tariffs (origin_id,destin_id,provider_id,airline_id,comodity_id,min,n,comments,active,user_id,type_tariff,forty_five_more,hundred_more,three_hundred_more,five_hundred_more,thousand_more,f_end,created_at,updated_at,airchaft,cost, offer) values ('50961','428','8265','8299','4','100','1.3','&lt;p&gt;ITA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()&lt;/p&gt;',1,1,3,'1.3','1.3','1.2','1.1','1','2026-01-31',now(),now(),2,'0.1','1');</v>
      </c>
      <c r="P3" s="29">
        <v>0.1</v>
      </c>
    </row>
    <row r="4" spans="1:16">
      <c r="A4" t="s">
        <v>22</v>
      </c>
      <c r="B4" t="s">
        <v>25</v>
      </c>
      <c r="C4" s="28">
        <f>VLOOKUP(B4,[1]!Consulta1[#All],2,FALSE)</f>
        <v>394</v>
      </c>
      <c r="E4">
        <v>100</v>
      </c>
      <c r="F4">
        <v>1.45</v>
      </c>
      <c r="G4">
        <v>1.45</v>
      </c>
      <c r="H4">
        <v>1.25</v>
      </c>
      <c r="I4">
        <v>1.1499999999999999</v>
      </c>
      <c r="J4">
        <v>1.05</v>
      </c>
      <c r="K4">
        <v>0.95</v>
      </c>
      <c r="M4" s="28">
        <f>VLOOKUP(A4,[1]!Consulta1[#All],2,FALSE)</f>
        <v>50961</v>
      </c>
      <c r="O4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('50961','394','8265','8299','4','100','1.45','&lt;p&gt;ITA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()&lt;/p&gt;',1,1,3,'1.45','1.25','1.15','1.05','0.95','2026-01-31',now(),now(),2,'0.1','1');</v>
      </c>
      <c r="P4" s="29">
        <v>0.1</v>
      </c>
    </row>
    <row r="5" spans="1:16">
      <c r="A5" t="s">
        <v>26</v>
      </c>
      <c r="B5" t="s">
        <v>23</v>
      </c>
      <c r="C5" s="28">
        <f>VLOOKUP(B5,[1]!Consulta1[#All],2,FALSE)</f>
        <v>468</v>
      </c>
      <c r="E5">
        <v>100</v>
      </c>
      <c r="F5">
        <v>0.95</v>
      </c>
      <c r="G5">
        <v>0.95</v>
      </c>
      <c r="H5">
        <v>0.95</v>
      </c>
      <c r="I5">
        <v>0.95</v>
      </c>
      <c r="J5">
        <v>0.88</v>
      </c>
      <c r="K5">
        <v>0.78</v>
      </c>
      <c r="M5" s="28">
        <f>VLOOKUP(A5,[1]!Consulta1[#All],2,FALSE)</f>
        <v>49720</v>
      </c>
      <c r="O5" s="28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('",M5,"','",C5,"','8265','8299','",$N$2,"','",E5,"','",F5,"','",$L$2,"',1,1,3,'",G5,"','",H5,"','",I5,"','",J5,"','",K5,"','2026-01-31',now(),now(),2,'",P5,"','1');")</f>
        <v>insert tariffs (origin_id,destin_id,provider_id,airline_id,comodity_id,min,n,comments,active,user_id,type_tariff,forty_five_more,hundred_more,three_hundred_more,five_hundred_more,thousand_more,f_end,created_at,updated_at,airchaft,cost, offer) values ('49720','468','8265','8299','4','100','0.95','&lt;p&gt;ITA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()&lt;/p&gt;',1,1,3,'0.95','0.95','0.95','0.88','0.78','2026-01-31',now(),now(),2,'0.1','1');</v>
      </c>
      <c r="P5" s="29">
        <v>0.1</v>
      </c>
    </row>
    <row r="6" spans="1:16">
      <c r="A6" t="s">
        <v>26</v>
      </c>
      <c r="B6" t="s">
        <v>24</v>
      </c>
      <c r="C6" s="28">
        <f>VLOOKUP(B6,[1]!Consulta1[#All],2,FALSE)</f>
        <v>428</v>
      </c>
      <c r="E6">
        <v>100</v>
      </c>
      <c r="F6">
        <v>1.25</v>
      </c>
      <c r="G6">
        <v>1.25</v>
      </c>
      <c r="H6">
        <v>1.25</v>
      </c>
      <c r="I6">
        <v>1.1499999999999999</v>
      </c>
      <c r="J6">
        <v>1.05</v>
      </c>
      <c r="K6">
        <v>0.95</v>
      </c>
      <c r="M6" s="28">
        <f>VLOOKUP(A6,[1]!Consulta1[#All],2,FALSE)</f>
        <v>49720</v>
      </c>
      <c r="O6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('49720','428','8265','8299','4','100','1.25','&lt;p&gt;ITA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()&lt;/p&gt;',1,1,3,'1.25','1.25','1.15','1.05','0.95','2026-01-31',now(),now(),2,'0.1','1');</v>
      </c>
      <c r="P6" s="29">
        <v>0.1</v>
      </c>
    </row>
    <row r="7" spans="1:16">
      <c r="A7" t="s">
        <v>26</v>
      </c>
      <c r="B7" t="s">
        <v>25</v>
      </c>
      <c r="C7" s="28">
        <f>VLOOKUP(B7,[1]!Consulta1[#All],2,FALSE)</f>
        <v>394</v>
      </c>
      <c r="E7">
        <v>100</v>
      </c>
      <c r="F7">
        <v>1.5</v>
      </c>
      <c r="G7">
        <v>1.5</v>
      </c>
      <c r="H7">
        <v>1.3</v>
      </c>
      <c r="I7">
        <v>1.2</v>
      </c>
      <c r="J7">
        <v>1.1000000000000001</v>
      </c>
      <c r="K7">
        <v>1</v>
      </c>
      <c r="M7" s="28">
        <f>VLOOKUP(A7,[1]!Consulta1[#All],2,FALSE)</f>
        <v>49720</v>
      </c>
      <c r="O7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('49720','394','8265','8299','4','100','1.5','&lt;p&gt;ITA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()&lt;/p&gt;',1,1,3,'1.5','1.3','1.2','1.1','1','2026-01-31',now(),now(),2,'0.1','1');</v>
      </c>
      <c r="P7" s="29">
        <v>0.1</v>
      </c>
    </row>
    <row r="8" spans="1:16">
      <c r="A8" t="s">
        <v>22</v>
      </c>
      <c r="B8" t="s">
        <v>27</v>
      </c>
      <c r="C8" s="28">
        <f>VLOOKUP(B8,[1]!Consulta1[#All],2,FALSE)</f>
        <v>38</v>
      </c>
      <c r="E8">
        <v>130</v>
      </c>
      <c r="F8">
        <v>2.89</v>
      </c>
      <c r="G8">
        <v>2.89</v>
      </c>
      <c r="H8">
        <v>0.95</v>
      </c>
      <c r="I8">
        <v>0.9</v>
      </c>
      <c r="J8">
        <v>0.85</v>
      </c>
      <c r="K8">
        <v>0.8</v>
      </c>
      <c r="M8" s="28">
        <f>VLOOKUP(A8,[1]!Consulta1[#All],2,FALSE)</f>
        <v>50961</v>
      </c>
      <c r="O8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('50961','38','8265','8299','4','130','2.89','&lt;p&gt;ITA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()&lt;/p&gt;',1,1,3,'2.89','0.95','0.9','0.85','0.8','2026-01-31',now(),now(),2,'0.1','1');</v>
      </c>
      <c r="P8" s="29">
        <v>0.1</v>
      </c>
    </row>
    <row r="9" spans="1:16">
      <c r="A9" t="s">
        <v>22</v>
      </c>
      <c r="B9" t="s">
        <v>37</v>
      </c>
      <c r="C9" s="28">
        <f>VLOOKUP(B9,[1]!Consulta1[#All],2,FALSE)</f>
        <v>292</v>
      </c>
      <c r="E9">
        <v>130</v>
      </c>
      <c r="F9">
        <v>2.89</v>
      </c>
      <c r="G9">
        <v>2.89</v>
      </c>
      <c r="H9">
        <v>0.97</v>
      </c>
      <c r="I9">
        <v>0.97</v>
      </c>
      <c r="J9">
        <v>0.97</v>
      </c>
      <c r="K9">
        <v>0.97</v>
      </c>
      <c r="M9" s="28">
        <f>VLOOKUP(A9,[1]!Consulta1[#All],2,FALSE)</f>
        <v>50961</v>
      </c>
      <c r="O9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('50961','292','8265','8299','4','130','2.89','&lt;p&gt;ITA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()&lt;/p&gt;',1,1,3,'2.89','0.97','0.97','0.97','0.97','2026-01-31',now(),now(),2,'0.1','1');</v>
      </c>
      <c r="P9" s="29">
        <v>0.1</v>
      </c>
    </row>
    <row r="10" spans="1:16">
      <c r="A10" t="s">
        <v>22</v>
      </c>
      <c r="B10" t="s">
        <v>38</v>
      </c>
      <c r="C10" s="28">
        <f>VLOOKUP(B10,[1]!Consulta1[#All],2,FALSE)</f>
        <v>162</v>
      </c>
      <c r="E10">
        <v>130</v>
      </c>
      <c r="F10">
        <v>2.89</v>
      </c>
      <c r="G10">
        <v>2.89</v>
      </c>
      <c r="H10">
        <v>0.97</v>
      </c>
      <c r="I10">
        <v>0.97</v>
      </c>
      <c r="J10">
        <v>0.97</v>
      </c>
      <c r="K10">
        <v>0.97</v>
      </c>
      <c r="M10" s="28">
        <f>VLOOKUP(A10,[1]!Consulta1[#All],2,FALSE)</f>
        <v>50961</v>
      </c>
      <c r="O10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('50961','162','8265','8299','4','130','2.89','&lt;p&gt;ITA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()&lt;/p&gt;',1,1,3,'2.89','0.97','0.97','0.97','0.97','2026-01-31',now(),now(),2,'0.1','1');</v>
      </c>
      <c r="P10" s="29">
        <v>0.1</v>
      </c>
    </row>
    <row r="11" spans="1:16">
      <c r="A11" t="s">
        <v>22</v>
      </c>
      <c r="B11" t="s">
        <v>39</v>
      </c>
      <c r="C11" s="28">
        <f>VLOOKUP(B11,[1]!Consulta1[#All],2,FALSE)</f>
        <v>703</v>
      </c>
      <c r="E11">
        <v>130</v>
      </c>
      <c r="F11">
        <v>2.89</v>
      </c>
      <c r="G11">
        <v>2.89</v>
      </c>
      <c r="H11">
        <v>1</v>
      </c>
      <c r="I11">
        <v>0.95</v>
      </c>
      <c r="J11">
        <v>0.9</v>
      </c>
      <c r="K11">
        <v>0.8</v>
      </c>
      <c r="M11" s="28">
        <f>VLOOKUP(A11,[1]!Consulta1[#All],2,FALSE)</f>
        <v>50961</v>
      </c>
      <c r="O11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('50961','703','8265','8299','4','130','2.89','&lt;p&gt;ITA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()&lt;/p&gt;',1,1,3,'2.89','1','0.95','0.9','0.8','2026-01-31',now(),now(),2,'0.1','1');</v>
      </c>
      <c r="P11" s="29">
        <v>0.1</v>
      </c>
    </row>
    <row r="12" spans="1:16">
      <c r="A12" t="s">
        <v>22</v>
      </c>
      <c r="B12" t="s">
        <v>40</v>
      </c>
      <c r="C12" s="28">
        <f>VLOOKUP(B12,[1]!Consulta1[#All],2,FALSE)</f>
        <v>74</v>
      </c>
      <c r="E12">
        <v>130</v>
      </c>
      <c r="F12">
        <v>2.89</v>
      </c>
      <c r="G12">
        <v>2.89</v>
      </c>
      <c r="H12">
        <v>1</v>
      </c>
      <c r="I12">
        <v>0.95</v>
      </c>
      <c r="J12">
        <v>0.9</v>
      </c>
      <c r="K12">
        <v>0.8</v>
      </c>
      <c r="M12" s="28">
        <f>VLOOKUP(A12,[1]!Consulta1[#All],2,FALSE)</f>
        <v>50961</v>
      </c>
      <c r="O12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('50961','74','8265','8299','4','130','2.89','&lt;p&gt;ITA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()&lt;/p&gt;',1,1,3,'2.89','1','0.95','0.9','0.8','2026-01-31',now(),now(),2,'0.1','1');</v>
      </c>
      <c r="P12" s="29">
        <v>0.1</v>
      </c>
    </row>
    <row r="13" spans="1:16">
      <c r="A13" t="s">
        <v>22</v>
      </c>
      <c r="B13" t="s">
        <v>41</v>
      </c>
      <c r="C13" s="28">
        <f>VLOOKUP(B13,[1]!Consulta1[#All],2,FALSE)</f>
        <v>123</v>
      </c>
      <c r="E13">
        <v>130</v>
      </c>
      <c r="F13">
        <v>2.89</v>
      </c>
      <c r="G13">
        <v>2.89</v>
      </c>
      <c r="H13">
        <v>1.1499999999999999</v>
      </c>
      <c r="I13">
        <v>1.1499999999999999</v>
      </c>
      <c r="J13">
        <v>1.1499999999999999</v>
      </c>
      <c r="K13">
        <v>1.1499999999999999</v>
      </c>
      <c r="M13" s="28">
        <f>VLOOKUP(A13,[1]!Consulta1[#All],2,FALSE)</f>
        <v>50961</v>
      </c>
      <c r="O13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('50961','123','8265','8299','4','130','2.89','&lt;p&gt;ITA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13" s="29">
        <v>0.1</v>
      </c>
    </row>
    <row r="14" spans="1:16">
      <c r="A14" t="s">
        <v>22</v>
      </c>
      <c r="B14" t="s">
        <v>42</v>
      </c>
      <c r="C14" s="28">
        <f>VLOOKUP(B14,[1]!Consulta1[#All],2,FALSE)</f>
        <v>138</v>
      </c>
      <c r="E14">
        <v>130</v>
      </c>
      <c r="F14">
        <v>2.89</v>
      </c>
      <c r="G14">
        <v>2.89</v>
      </c>
      <c r="H14">
        <v>1.1499999999999999</v>
      </c>
      <c r="I14">
        <v>1.1499999999999999</v>
      </c>
      <c r="J14">
        <v>1.1499999999999999</v>
      </c>
      <c r="K14">
        <v>1.1499999999999999</v>
      </c>
      <c r="M14" s="28">
        <f>VLOOKUP(A14,[1]!Consulta1[#All],2,FALSE)</f>
        <v>50961</v>
      </c>
      <c r="O14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('50961','138','8265','8299','4','130','2.89','&lt;p&gt;ITA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14" s="29">
        <v>0.1</v>
      </c>
    </row>
    <row r="15" spans="1:16">
      <c r="A15" t="s">
        <v>22</v>
      </c>
      <c r="B15" t="s">
        <v>43</v>
      </c>
      <c r="C15" s="28">
        <f>VLOOKUP(B15,[1]!Consulta1[#All],2,FALSE)</f>
        <v>150</v>
      </c>
      <c r="E15">
        <v>130</v>
      </c>
      <c r="F15">
        <v>2.89</v>
      </c>
      <c r="G15">
        <v>2.89</v>
      </c>
      <c r="H15">
        <v>1.1499999999999999</v>
      </c>
      <c r="I15">
        <v>1.1499999999999999</v>
      </c>
      <c r="J15">
        <v>1.1499999999999999</v>
      </c>
      <c r="K15">
        <v>1.1499999999999999</v>
      </c>
      <c r="M15" s="28">
        <f>VLOOKUP(A15,[1]!Consulta1[#All],2,FALSE)</f>
        <v>50961</v>
      </c>
      <c r="O15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('50961','150','8265','8299','4','130','2.89','&lt;p&gt;ITA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15" s="29">
        <v>0.1</v>
      </c>
    </row>
    <row r="16" spans="1:16">
      <c r="A16" t="s">
        <v>22</v>
      </c>
      <c r="B16" t="s">
        <v>44</v>
      </c>
      <c r="C16" s="28">
        <f>VLOOKUP(B16,[1]!Consulta1[#All],2,FALSE)</f>
        <v>132</v>
      </c>
      <c r="E16">
        <v>130</v>
      </c>
      <c r="F16">
        <v>2.89</v>
      </c>
      <c r="G16">
        <v>2.89</v>
      </c>
      <c r="H16">
        <v>1.1499999999999999</v>
      </c>
      <c r="I16">
        <v>1.1499999999999999</v>
      </c>
      <c r="J16">
        <v>1.1499999999999999</v>
      </c>
      <c r="K16">
        <v>1.1499999999999999</v>
      </c>
      <c r="M16" s="28">
        <f>VLOOKUP(A16,[1]!Consulta1[#All],2,FALSE)</f>
        <v>50961</v>
      </c>
      <c r="O16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('50961','132','8265','8299','4','130','2.89','&lt;p&gt;ITA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16" s="29">
        <v>0.1</v>
      </c>
    </row>
    <row r="17" spans="1:16">
      <c r="A17" t="s">
        <v>22</v>
      </c>
      <c r="B17" t="s">
        <v>45</v>
      </c>
      <c r="C17" s="28">
        <f>VLOOKUP(B17,[1]!Consulta1[#All],2,FALSE)</f>
        <v>172</v>
      </c>
      <c r="E17">
        <v>130</v>
      </c>
      <c r="F17">
        <v>2.89</v>
      </c>
      <c r="G17">
        <v>2.89</v>
      </c>
      <c r="H17">
        <v>1.1499999999999999</v>
      </c>
      <c r="I17">
        <v>1.1499999999999999</v>
      </c>
      <c r="J17">
        <v>1.1499999999999999</v>
      </c>
      <c r="K17">
        <v>1.1499999999999999</v>
      </c>
      <c r="M17" s="28">
        <f>VLOOKUP(A17,[1]!Consulta1[#All],2,FALSE)</f>
        <v>50961</v>
      </c>
      <c r="O17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('50961','172','8265','8299','4','130','2.89','&lt;p&gt;ITA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17" s="29">
        <v>0.1</v>
      </c>
    </row>
    <row r="18" spans="1:16">
      <c r="A18" t="s">
        <v>22</v>
      </c>
      <c r="B18" t="s">
        <v>28</v>
      </c>
      <c r="C18" s="28">
        <f>VLOOKUP(B18,[1]!Consulta1[#All],2,FALSE)</f>
        <v>594</v>
      </c>
      <c r="E18">
        <v>130</v>
      </c>
      <c r="F18">
        <v>2.89</v>
      </c>
      <c r="G18">
        <v>2.89</v>
      </c>
      <c r="H18">
        <v>1.25</v>
      </c>
      <c r="I18">
        <v>1.25</v>
      </c>
      <c r="J18">
        <v>1.1499999999999999</v>
      </c>
      <c r="K18">
        <v>1.1000000000000001</v>
      </c>
      <c r="M18" s="28">
        <f>VLOOKUP(A18,[1]!Consulta1[#All],2,FALSE)</f>
        <v>50961</v>
      </c>
      <c r="O18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('50961','594','8265','8299','4','130','2.89','&lt;p&gt;ITA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()&lt;/p&gt;',1,1,3,'2.89','1.25','1.25','1.15','1.1','2026-01-31',now(),now(),2,'0.1','1');</v>
      </c>
      <c r="P18" s="29">
        <v>0.1</v>
      </c>
    </row>
    <row r="19" spans="1:16">
      <c r="A19" t="s">
        <v>26</v>
      </c>
      <c r="B19" t="s">
        <v>27</v>
      </c>
      <c r="C19" s="28">
        <f>VLOOKUP(B19,[1]!Consulta1[#All],2,FALSE)</f>
        <v>38</v>
      </c>
      <c r="E19">
        <v>130</v>
      </c>
      <c r="F19">
        <v>2.89</v>
      </c>
      <c r="G19">
        <v>2.89</v>
      </c>
      <c r="H19">
        <v>1.1499999999999999</v>
      </c>
      <c r="I19">
        <v>1.1000000000000001</v>
      </c>
      <c r="J19">
        <v>1.05</v>
      </c>
      <c r="K19">
        <v>1</v>
      </c>
      <c r="M19" s="28">
        <f>VLOOKUP(A19,[1]!Consulta1[#All],2,FALSE)</f>
        <v>49720</v>
      </c>
      <c r="O19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('49720','38','8265','8299','4','130','2.89','&lt;p&gt;ITA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()&lt;/p&gt;',1,1,3,'2.89','1.15','1.1','1.05','1','2026-01-31',now(),now(),2,'0.1','1');</v>
      </c>
      <c r="P19" s="29">
        <v>0.1</v>
      </c>
    </row>
    <row r="20" spans="1:16">
      <c r="A20" t="s">
        <v>26</v>
      </c>
      <c r="B20" t="s">
        <v>37</v>
      </c>
      <c r="C20" s="28">
        <f>VLOOKUP(B20,[1]!Consulta1[#All],2,FALSE)</f>
        <v>292</v>
      </c>
      <c r="E20">
        <v>130</v>
      </c>
      <c r="F20">
        <v>2.89</v>
      </c>
      <c r="G20">
        <v>2.89</v>
      </c>
      <c r="H20">
        <v>1.1499999999999999</v>
      </c>
      <c r="I20">
        <v>1.1499999999999999</v>
      </c>
      <c r="J20">
        <v>1.1499999999999999</v>
      </c>
      <c r="K20">
        <v>1.1499999999999999</v>
      </c>
      <c r="M20" s="28">
        <f>VLOOKUP(A20,[1]!Consulta1[#All],2,FALSE)</f>
        <v>49720</v>
      </c>
      <c r="O20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('49720','292','8265','8299','4','130','2.89','&lt;p&gt;ITA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0" s="29">
        <v>0.1</v>
      </c>
    </row>
    <row r="21" spans="1:16">
      <c r="A21" t="s">
        <v>26</v>
      </c>
      <c r="B21" t="s">
        <v>38</v>
      </c>
      <c r="C21" s="28">
        <f>VLOOKUP(B21,[1]!Consulta1[#All],2,FALSE)</f>
        <v>162</v>
      </c>
      <c r="E21">
        <v>130</v>
      </c>
      <c r="F21">
        <v>2.89</v>
      </c>
      <c r="G21">
        <v>2.89</v>
      </c>
      <c r="H21">
        <v>1.1499999999999999</v>
      </c>
      <c r="I21">
        <v>1.1499999999999999</v>
      </c>
      <c r="J21">
        <v>1.1499999999999999</v>
      </c>
      <c r="K21">
        <v>1.1499999999999999</v>
      </c>
      <c r="M21" s="28">
        <f>VLOOKUP(A21,[1]!Consulta1[#All],2,FALSE)</f>
        <v>49720</v>
      </c>
      <c r="O21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('49720','162','8265','8299','4','130','2.89','&lt;p&gt;ITA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1" s="29">
        <v>0.1</v>
      </c>
    </row>
    <row r="22" spans="1:16">
      <c r="A22" t="s">
        <v>26</v>
      </c>
      <c r="B22" t="s">
        <v>39</v>
      </c>
      <c r="C22" s="28">
        <f>VLOOKUP(B22,[1]!Consulta1[#All],2,FALSE)</f>
        <v>703</v>
      </c>
      <c r="E22">
        <v>130</v>
      </c>
      <c r="F22">
        <v>2.89</v>
      </c>
      <c r="G22">
        <v>2.89</v>
      </c>
      <c r="H22">
        <v>1.05</v>
      </c>
      <c r="I22">
        <v>1</v>
      </c>
      <c r="J22">
        <v>0.95</v>
      </c>
      <c r="K22">
        <v>0.85</v>
      </c>
      <c r="M22" s="28">
        <f>VLOOKUP(A22,[1]!Consulta1[#All],2,FALSE)</f>
        <v>49720</v>
      </c>
      <c r="O22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('49720','703','8265','8299','4','130','2.89','&lt;p&gt;ITA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()&lt;/p&gt;',1,1,3,'2.89','1.05','1','0.95','0.85','2026-01-31',now(),now(),2,'0.1','1');</v>
      </c>
      <c r="P22" s="29">
        <v>0.1</v>
      </c>
    </row>
    <row r="23" spans="1:16">
      <c r="A23" t="s">
        <v>26</v>
      </c>
      <c r="B23" t="s">
        <v>40</v>
      </c>
      <c r="C23" s="28">
        <f>VLOOKUP(B23,[1]!Consulta1[#All],2,FALSE)</f>
        <v>74</v>
      </c>
      <c r="E23">
        <v>130</v>
      </c>
      <c r="F23">
        <v>2.89</v>
      </c>
      <c r="G23">
        <v>2.89</v>
      </c>
      <c r="H23">
        <v>1.05</v>
      </c>
      <c r="I23">
        <v>1</v>
      </c>
      <c r="J23">
        <v>0.95</v>
      </c>
      <c r="K23">
        <v>0.85</v>
      </c>
      <c r="M23" s="28">
        <f>VLOOKUP(A23,[1]!Consulta1[#All],2,FALSE)</f>
        <v>49720</v>
      </c>
      <c r="O23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('49720','74','8265','8299','4','130','2.89','&lt;p&gt;ITA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()&lt;/p&gt;',1,1,3,'2.89','1.05','1','0.95','0.85','2026-01-31',now(),now(),2,'0.1','1');</v>
      </c>
      <c r="P23" s="29">
        <v>0.1</v>
      </c>
    </row>
    <row r="24" spans="1:16">
      <c r="A24" t="s">
        <v>26</v>
      </c>
      <c r="B24" t="s">
        <v>41</v>
      </c>
      <c r="C24" s="28">
        <f>VLOOKUP(B24,[1]!Consulta1[#All],2,FALSE)</f>
        <v>123</v>
      </c>
      <c r="E24">
        <v>130</v>
      </c>
      <c r="F24">
        <v>2.89</v>
      </c>
      <c r="G24">
        <v>2.89</v>
      </c>
      <c r="H24">
        <v>1.1499999999999999</v>
      </c>
      <c r="I24">
        <v>1.1499999999999999</v>
      </c>
      <c r="J24">
        <v>1.1499999999999999</v>
      </c>
      <c r="K24">
        <v>1.1499999999999999</v>
      </c>
      <c r="M24" s="28">
        <f>VLOOKUP(A24,[1]!Consulta1[#All],2,FALSE)</f>
        <v>49720</v>
      </c>
      <c r="O24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('49720','123','8265','8299','4','130','2.89','&lt;p&gt;ITA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4" s="29">
        <v>0.1</v>
      </c>
    </row>
    <row r="25" spans="1:16">
      <c r="A25" t="s">
        <v>26</v>
      </c>
      <c r="B25" t="s">
        <v>42</v>
      </c>
      <c r="C25" s="28">
        <f>VLOOKUP(B25,[1]!Consulta1[#All],2,FALSE)</f>
        <v>138</v>
      </c>
      <c r="E25">
        <v>130</v>
      </c>
      <c r="F25">
        <v>2.89</v>
      </c>
      <c r="G25">
        <v>2.89</v>
      </c>
      <c r="H25">
        <v>1.1499999999999999</v>
      </c>
      <c r="I25">
        <v>1.1499999999999999</v>
      </c>
      <c r="J25">
        <v>1.1499999999999999</v>
      </c>
      <c r="K25">
        <v>1.1499999999999999</v>
      </c>
      <c r="M25" s="28">
        <f>VLOOKUP(A25,[1]!Consulta1[#All],2,FALSE)</f>
        <v>49720</v>
      </c>
      <c r="O25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('49720','138','8265','8299','4','130','2.89','&lt;p&gt;ITA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5" s="29">
        <v>0.1</v>
      </c>
    </row>
    <row r="26" spans="1:16">
      <c r="A26" t="s">
        <v>26</v>
      </c>
      <c r="B26" t="s">
        <v>43</v>
      </c>
      <c r="C26" s="28">
        <f>VLOOKUP(B26,[1]!Consulta1[#All],2,FALSE)</f>
        <v>150</v>
      </c>
      <c r="E26">
        <v>130</v>
      </c>
      <c r="F26">
        <v>2.89</v>
      </c>
      <c r="G26">
        <v>2.89</v>
      </c>
      <c r="H26">
        <v>1.1499999999999999</v>
      </c>
      <c r="I26">
        <v>1.1499999999999999</v>
      </c>
      <c r="J26">
        <v>1.1499999999999999</v>
      </c>
      <c r="K26">
        <v>1.1499999999999999</v>
      </c>
      <c r="M26" s="28">
        <f>VLOOKUP(A26,[1]!Consulta1[#All],2,FALSE)</f>
        <v>49720</v>
      </c>
      <c r="O26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('49720','150','8265','8299','4','130','2.89','&lt;p&gt;ITA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6" s="29">
        <v>0.1</v>
      </c>
    </row>
    <row r="27" spans="1:16">
      <c r="A27" t="s">
        <v>26</v>
      </c>
      <c r="B27" t="s">
        <v>44</v>
      </c>
      <c r="C27" s="28">
        <f>VLOOKUP(B27,[1]!Consulta1[#All],2,FALSE)</f>
        <v>132</v>
      </c>
      <c r="E27">
        <v>130</v>
      </c>
      <c r="F27">
        <v>2.89</v>
      </c>
      <c r="G27">
        <v>2.89</v>
      </c>
      <c r="H27">
        <v>1.1499999999999999</v>
      </c>
      <c r="I27">
        <v>1.1499999999999999</v>
      </c>
      <c r="J27">
        <v>1.1499999999999999</v>
      </c>
      <c r="K27">
        <v>1.1499999999999999</v>
      </c>
      <c r="M27" s="28">
        <f>VLOOKUP(A27,[1]!Consulta1[#All],2,FALSE)</f>
        <v>49720</v>
      </c>
      <c r="O27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('49720','132','8265','8299','4','130','2.89','&lt;p&gt;ITA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7" s="29">
        <v>0.1</v>
      </c>
    </row>
    <row r="28" spans="1:16">
      <c r="A28" t="s">
        <v>26</v>
      </c>
      <c r="B28" t="s">
        <v>45</v>
      </c>
      <c r="C28" s="28">
        <f>VLOOKUP(B28,[1]!Consulta1[#All],2,FALSE)</f>
        <v>172</v>
      </c>
      <c r="E28">
        <v>130</v>
      </c>
      <c r="F28">
        <v>2.89</v>
      </c>
      <c r="G28">
        <v>2.89</v>
      </c>
      <c r="H28">
        <v>1.1499999999999999</v>
      </c>
      <c r="I28">
        <v>1.1499999999999999</v>
      </c>
      <c r="J28">
        <v>1.1499999999999999</v>
      </c>
      <c r="K28">
        <v>1.1499999999999999</v>
      </c>
      <c r="M28" s="28">
        <f>VLOOKUP(A28,[1]!Consulta1[#All],2,FALSE)</f>
        <v>49720</v>
      </c>
      <c r="O28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('49720','172','8265','8299','4','130','2.89','&lt;p&gt;ITA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()&lt;/p&gt;',1,1,3,'2.89','1.15','1.15','1.15','1.15','2026-01-31',now(),now(),2,'0.1','1');</v>
      </c>
      <c r="P28" s="29">
        <v>0.1</v>
      </c>
    </row>
    <row r="29" spans="1:16">
      <c r="A29" t="s">
        <v>26</v>
      </c>
      <c r="B29" t="s">
        <v>28</v>
      </c>
      <c r="C29" s="28">
        <f>VLOOKUP(B29,[1]!Consulta1[#All],2,FALSE)</f>
        <v>594</v>
      </c>
      <c r="E29">
        <v>130</v>
      </c>
      <c r="F29">
        <v>2.89</v>
      </c>
      <c r="G29">
        <v>2.89</v>
      </c>
      <c r="H29">
        <v>1.3</v>
      </c>
      <c r="I29">
        <v>1.3</v>
      </c>
      <c r="J29">
        <v>1.25</v>
      </c>
      <c r="K29">
        <v>1.1499999999999999</v>
      </c>
      <c r="M29" s="28">
        <f>VLOOKUP(A29,[1]!Consulta1[#All],2,FALSE)</f>
        <v>49720</v>
      </c>
      <c r="O29" s="28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('49720','594','8265','8299','4','130','2.89','&lt;p&gt;ITA 1.3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()&lt;/p&gt;',1,1,3,'2.89','1.3','1.3','1.25','1.15','2026-01-31',now(),now(),2,'0.1','1');</v>
      </c>
      <c r="P29" s="29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3FAD-52AB-4AC9-9CFD-69194CF7B8A9}">
  <dimension ref="A1:I17"/>
  <sheetViews>
    <sheetView workbookViewId="0">
      <selection sqref="A1:I17"/>
    </sheetView>
  </sheetViews>
  <sheetFormatPr baseColWidth="10" defaultRowHeight="12.75"/>
  <sheetData>
    <row r="1" spans="1:9">
      <c r="A1" t="s">
        <v>18</v>
      </c>
      <c r="B1" t="s">
        <v>19</v>
      </c>
      <c r="C1" t="s">
        <v>20</v>
      </c>
      <c r="D1" t="s">
        <v>21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 t="s">
        <v>22</v>
      </c>
      <c r="B2" t="s">
        <v>23</v>
      </c>
      <c r="C2">
        <v>100</v>
      </c>
      <c r="D2">
        <v>0.9</v>
      </c>
      <c r="E2">
        <v>0.9</v>
      </c>
      <c r="F2">
        <v>0.9</v>
      </c>
      <c r="G2">
        <v>0.85</v>
      </c>
      <c r="H2">
        <v>0.8</v>
      </c>
      <c r="I2">
        <v>0.7</v>
      </c>
    </row>
    <row r="3" spans="1:9">
      <c r="A3" t="s">
        <v>22</v>
      </c>
      <c r="B3" t="s">
        <v>24</v>
      </c>
      <c r="C3">
        <v>100</v>
      </c>
      <c r="D3">
        <v>1.3</v>
      </c>
      <c r="E3">
        <v>1.3</v>
      </c>
      <c r="F3">
        <v>1.3</v>
      </c>
      <c r="G3">
        <v>1.2</v>
      </c>
      <c r="H3">
        <v>1.1000000000000001</v>
      </c>
      <c r="I3">
        <v>1</v>
      </c>
    </row>
    <row r="4" spans="1:9">
      <c r="A4" t="s">
        <v>22</v>
      </c>
      <c r="B4" t="s">
        <v>25</v>
      </c>
      <c r="C4">
        <v>100</v>
      </c>
      <c r="D4">
        <v>1.45</v>
      </c>
      <c r="E4">
        <v>1.45</v>
      </c>
      <c r="F4">
        <v>1.25</v>
      </c>
      <c r="G4">
        <v>1.1499999999999999</v>
      </c>
      <c r="H4">
        <v>1.05</v>
      </c>
      <c r="I4">
        <v>0.95</v>
      </c>
    </row>
    <row r="5" spans="1:9">
      <c r="A5" t="s">
        <v>26</v>
      </c>
      <c r="B5" t="s">
        <v>23</v>
      </c>
      <c r="C5">
        <v>100</v>
      </c>
      <c r="D5">
        <v>0.95</v>
      </c>
      <c r="E5">
        <v>0.95</v>
      </c>
      <c r="F5">
        <v>0.95</v>
      </c>
      <c r="G5">
        <v>0.95</v>
      </c>
      <c r="H5">
        <v>0.88</v>
      </c>
      <c r="I5">
        <v>0.78</v>
      </c>
    </row>
    <row r="6" spans="1:9">
      <c r="A6" t="s">
        <v>26</v>
      </c>
      <c r="B6" t="s">
        <v>24</v>
      </c>
      <c r="C6">
        <v>100</v>
      </c>
      <c r="D6">
        <v>1.25</v>
      </c>
      <c r="E6">
        <v>1.25</v>
      </c>
      <c r="F6">
        <v>1.25</v>
      </c>
      <c r="G6">
        <v>1.1499999999999999</v>
      </c>
      <c r="H6">
        <v>1.05</v>
      </c>
      <c r="I6">
        <v>0.95</v>
      </c>
    </row>
    <row r="7" spans="1:9">
      <c r="A7" t="s">
        <v>26</v>
      </c>
      <c r="B7" t="s">
        <v>25</v>
      </c>
      <c r="C7">
        <v>100</v>
      </c>
      <c r="D7">
        <v>1.5</v>
      </c>
      <c r="E7">
        <v>1.5</v>
      </c>
      <c r="F7">
        <v>1.3</v>
      </c>
      <c r="G7">
        <v>1.2</v>
      </c>
      <c r="H7">
        <v>1.1000000000000001</v>
      </c>
      <c r="I7">
        <v>1</v>
      </c>
    </row>
    <row r="8" spans="1:9">
      <c r="A8" t="s">
        <v>22</v>
      </c>
      <c r="B8" t="s">
        <v>27</v>
      </c>
      <c r="C8">
        <v>130</v>
      </c>
      <c r="D8">
        <v>2.89</v>
      </c>
      <c r="E8">
        <v>2.89</v>
      </c>
      <c r="F8">
        <v>0.95</v>
      </c>
      <c r="G8">
        <v>0.9</v>
      </c>
      <c r="H8">
        <v>0.85</v>
      </c>
      <c r="I8">
        <v>0.8</v>
      </c>
    </row>
    <row r="9" spans="1:9">
      <c r="A9" t="s">
        <v>22</v>
      </c>
      <c r="B9" t="s">
        <v>29</v>
      </c>
      <c r="C9">
        <v>130</v>
      </c>
      <c r="D9">
        <v>2.89</v>
      </c>
      <c r="E9">
        <v>2.89</v>
      </c>
      <c r="F9">
        <v>0.97</v>
      </c>
      <c r="G9">
        <v>0.97</v>
      </c>
      <c r="H9">
        <v>0.97</v>
      </c>
      <c r="I9">
        <v>0.97</v>
      </c>
    </row>
    <row r="10" spans="1:9">
      <c r="A10" t="s">
        <v>22</v>
      </c>
      <c r="B10" t="s">
        <v>30</v>
      </c>
      <c r="C10">
        <v>130</v>
      </c>
      <c r="D10">
        <v>2.89</v>
      </c>
      <c r="E10">
        <v>2.89</v>
      </c>
      <c r="F10">
        <v>1</v>
      </c>
      <c r="G10">
        <v>0.95</v>
      </c>
      <c r="H10">
        <v>0.9</v>
      </c>
      <c r="I10">
        <v>0.8</v>
      </c>
    </row>
    <row r="11" spans="1:9">
      <c r="A11" t="s">
        <v>22</v>
      </c>
      <c r="B11" t="s">
        <v>31</v>
      </c>
      <c r="C11">
        <v>130</v>
      </c>
      <c r="D11">
        <v>2.89</v>
      </c>
      <c r="E11">
        <v>2.89</v>
      </c>
      <c r="F11">
        <v>1.1499999999999999</v>
      </c>
      <c r="G11">
        <v>1.1499999999999999</v>
      </c>
      <c r="H11">
        <v>1.1499999999999999</v>
      </c>
      <c r="I11">
        <v>1.1499999999999999</v>
      </c>
    </row>
    <row r="12" spans="1:9">
      <c r="A12" t="s">
        <v>22</v>
      </c>
      <c r="B12" t="s">
        <v>28</v>
      </c>
      <c r="C12">
        <v>130</v>
      </c>
      <c r="D12">
        <v>2.89</v>
      </c>
      <c r="E12">
        <v>2.89</v>
      </c>
      <c r="F12">
        <v>1.25</v>
      </c>
      <c r="G12">
        <v>1.25</v>
      </c>
      <c r="H12">
        <v>1.1499999999999999</v>
      </c>
      <c r="I12">
        <v>1.1000000000000001</v>
      </c>
    </row>
    <row r="13" spans="1:9">
      <c r="A13" t="s">
        <v>26</v>
      </c>
      <c r="B13" t="s">
        <v>27</v>
      </c>
      <c r="C13">
        <v>130</v>
      </c>
      <c r="D13">
        <v>2.89</v>
      </c>
      <c r="E13">
        <v>2.89</v>
      </c>
      <c r="F13">
        <v>1.1499999999999999</v>
      </c>
      <c r="G13">
        <v>1.1000000000000001</v>
      </c>
      <c r="H13">
        <v>1.05</v>
      </c>
      <c r="I13">
        <v>1</v>
      </c>
    </row>
    <row r="14" spans="1:9">
      <c r="A14" t="s">
        <v>26</v>
      </c>
      <c r="B14" t="s">
        <v>29</v>
      </c>
      <c r="C14">
        <v>130</v>
      </c>
      <c r="D14">
        <v>2.89</v>
      </c>
      <c r="E14">
        <v>2.89</v>
      </c>
      <c r="F14">
        <v>1.1499999999999999</v>
      </c>
      <c r="G14">
        <v>1.1499999999999999</v>
      </c>
      <c r="H14">
        <v>1.1499999999999999</v>
      </c>
      <c r="I14">
        <v>1.1499999999999999</v>
      </c>
    </row>
    <row r="15" spans="1:9">
      <c r="A15" t="s">
        <v>26</v>
      </c>
      <c r="B15" t="s">
        <v>30</v>
      </c>
      <c r="C15">
        <v>130</v>
      </c>
      <c r="D15">
        <v>2.89</v>
      </c>
      <c r="E15">
        <v>2.89</v>
      </c>
      <c r="F15">
        <v>1.05</v>
      </c>
      <c r="G15">
        <v>1</v>
      </c>
      <c r="H15">
        <v>0.95</v>
      </c>
      <c r="I15">
        <v>0.85</v>
      </c>
    </row>
    <row r="16" spans="1:9">
      <c r="A16" t="s">
        <v>26</v>
      </c>
      <c r="B16" t="s">
        <v>31</v>
      </c>
      <c r="C16">
        <v>130</v>
      </c>
      <c r="D16">
        <v>2.89</v>
      </c>
      <c r="E16">
        <v>2.89</v>
      </c>
      <c r="F16">
        <v>1.1499999999999999</v>
      </c>
      <c r="G16">
        <v>1.1499999999999999</v>
      </c>
      <c r="H16">
        <v>1.1499999999999999</v>
      </c>
      <c r="I16">
        <v>1.1499999999999999</v>
      </c>
    </row>
    <row r="17" spans="1:9">
      <c r="A17" t="s">
        <v>26</v>
      </c>
      <c r="B17" t="s">
        <v>28</v>
      </c>
      <c r="C17">
        <v>130</v>
      </c>
      <c r="D17">
        <v>2.89</v>
      </c>
      <c r="E17">
        <v>2.89</v>
      </c>
      <c r="F17">
        <v>1.3</v>
      </c>
      <c r="G17">
        <v>1.3</v>
      </c>
      <c r="H17">
        <v>1.25</v>
      </c>
      <c r="I17">
        <v>1.1499999999999999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A2" sqref="A2:I11"/>
    </sheetView>
  </sheetViews>
  <sheetFormatPr baseColWidth="10" defaultColWidth="9.33203125" defaultRowHeight="12.75"/>
  <cols>
    <col min="1" max="1" width="13.5" customWidth="1"/>
    <col min="2" max="2" width="19.5" customWidth="1"/>
    <col min="3" max="3" width="13.33203125" customWidth="1"/>
    <col min="4" max="4" width="11.1640625" customWidth="1"/>
    <col min="5" max="6" width="12.6640625" customWidth="1"/>
    <col min="7" max="7" width="13.5" customWidth="1"/>
    <col min="8" max="8" width="12.5" customWidth="1"/>
    <col min="9" max="9" width="14" customWidth="1"/>
  </cols>
  <sheetData>
    <row r="1" spans="1:9" ht="15" customHeight="1">
      <c r="A1" s="20" t="s">
        <v>11</v>
      </c>
      <c r="B1" s="20"/>
      <c r="C1" s="20"/>
      <c r="D1" s="20"/>
      <c r="E1" s="20"/>
      <c r="F1" s="20"/>
      <c r="G1" s="20"/>
      <c r="H1" s="20"/>
      <c r="I1" s="20"/>
    </row>
    <row r="2" spans="1:9" ht="12.75" customHeight="1">
      <c r="A2" s="21" t="s">
        <v>6</v>
      </c>
      <c r="B2" s="4" t="s">
        <v>12</v>
      </c>
      <c r="C2" s="5">
        <v>130</v>
      </c>
      <c r="D2" s="6">
        <v>2.89</v>
      </c>
      <c r="E2" s="6">
        <v>2.89</v>
      </c>
      <c r="F2" s="6">
        <v>0.95</v>
      </c>
      <c r="G2" s="6">
        <v>0.9</v>
      </c>
      <c r="H2" s="6">
        <v>0.85</v>
      </c>
      <c r="I2" s="6">
        <v>0.8</v>
      </c>
    </row>
    <row r="3" spans="1:9" ht="12.75" customHeight="1">
      <c r="A3" s="22"/>
      <c r="B3" s="7" t="s">
        <v>13</v>
      </c>
      <c r="C3" s="8">
        <v>130</v>
      </c>
      <c r="D3" s="9">
        <v>2.89</v>
      </c>
      <c r="E3" s="9">
        <v>2.89</v>
      </c>
      <c r="F3" s="9">
        <v>0.97</v>
      </c>
      <c r="G3" s="9">
        <v>0.97</v>
      </c>
      <c r="H3" s="9">
        <v>0.97</v>
      </c>
      <c r="I3" s="9">
        <v>0.97</v>
      </c>
    </row>
    <row r="4" spans="1:9" ht="12.75" customHeight="1">
      <c r="A4" s="22"/>
      <c r="B4" s="4" t="s">
        <v>14</v>
      </c>
      <c r="C4" s="5">
        <v>130</v>
      </c>
      <c r="D4" s="6">
        <v>2.89</v>
      </c>
      <c r="E4" s="6">
        <v>2.89</v>
      </c>
      <c r="F4" s="6">
        <v>1</v>
      </c>
      <c r="G4" s="6">
        <v>0.95</v>
      </c>
      <c r="H4" s="6">
        <v>0.9</v>
      </c>
      <c r="I4" s="6">
        <v>0.8</v>
      </c>
    </row>
    <row r="5" spans="1:9" ht="25.5" customHeight="1">
      <c r="A5" s="22"/>
      <c r="B5" s="10" t="s">
        <v>15</v>
      </c>
      <c r="C5" s="8">
        <v>130</v>
      </c>
      <c r="D5" s="9">
        <v>2.89</v>
      </c>
      <c r="E5" s="9">
        <v>2.89</v>
      </c>
      <c r="F5" s="9">
        <v>1.1499999999999999</v>
      </c>
      <c r="G5" s="9">
        <v>1.1499999999999999</v>
      </c>
      <c r="H5" s="9">
        <v>1.1499999999999999</v>
      </c>
      <c r="I5" s="9">
        <v>1.1499999999999999</v>
      </c>
    </row>
    <row r="6" spans="1:9" ht="12.95" customHeight="1">
      <c r="A6" s="23"/>
      <c r="B6" s="4" t="s">
        <v>16</v>
      </c>
      <c r="C6" s="5">
        <v>130</v>
      </c>
      <c r="D6" s="6">
        <v>2.89</v>
      </c>
      <c r="E6" s="6">
        <v>2.89</v>
      </c>
      <c r="F6" s="6">
        <v>1.25</v>
      </c>
      <c r="G6" s="6">
        <v>1.25</v>
      </c>
      <c r="H6" s="6">
        <v>1.1499999999999999</v>
      </c>
      <c r="I6" s="6">
        <v>1.1000000000000001</v>
      </c>
    </row>
    <row r="7" spans="1:9" ht="13.5" customHeight="1">
      <c r="A7" s="24" t="s">
        <v>10</v>
      </c>
      <c r="B7" s="7" t="s">
        <v>12</v>
      </c>
      <c r="C7" s="8">
        <v>130</v>
      </c>
      <c r="D7" s="9">
        <v>2.89</v>
      </c>
      <c r="E7" s="9">
        <v>2.89</v>
      </c>
      <c r="F7" s="9">
        <v>1.1499999999999999</v>
      </c>
      <c r="G7" s="9">
        <v>1.1000000000000001</v>
      </c>
      <c r="H7" s="9">
        <v>1.05</v>
      </c>
      <c r="I7" s="9">
        <v>1</v>
      </c>
    </row>
    <row r="8" spans="1:9" ht="12.75" customHeight="1">
      <c r="A8" s="25"/>
      <c r="B8" s="4" t="s">
        <v>13</v>
      </c>
      <c r="C8" s="5">
        <v>130</v>
      </c>
      <c r="D8" s="6">
        <v>2.89</v>
      </c>
      <c r="E8" s="6">
        <v>2.89</v>
      </c>
      <c r="F8" s="6">
        <v>1.1499999999999999</v>
      </c>
      <c r="G8" s="6">
        <v>1.1499999999999999</v>
      </c>
      <c r="H8" s="6">
        <v>1.1499999999999999</v>
      </c>
      <c r="I8" s="6">
        <v>1.1499999999999999</v>
      </c>
    </row>
    <row r="9" spans="1:9" ht="12.75" customHeight="1">
      <c r="A9" s="25"/>
      <c r="B9" s="7" t="s">
        <v>14</v>
      </c>
      <c r="C9" s="8">
        <v>130</v>
      </c>
      <c r="D9" s="9">
        <v>2.89</v>
      </c>
      <c r="E9" s="9">
        <v>2.89</v>
      </c>
      <c r="F9" s="9">
        <v>1.05</v>
      </c>
      <c r="G9" s="9">
        <v>1</v>
      </c>
      <c r="H9" s="9">
        <v>0.95</v>
      </c>
      <c r="I9" s="9">
        <v>0.85</v>
      </c>
    </row>
    <row r="10" spans="1:9" ht="25.5" customHeight="1">
      <c r="A10" s="25"/>
      <c r="B10" s="11" t="s">
        <v>15</v>
      </c>
      <c r="C10" s="5">
        <v>130</v>
      </c>
      <c r="D10" s="6">
        <v>2.89</v>
      </c>
      <c r="E10" s="6">
        <v>2.89</v>
      </c>
      <c r="F10" s="6">
        <v>1.1499999999999999</v>
      </c>
      <c r="G10" s="6">
        <v>1.1499999999999999</v>
      </c>
      <c r="H10" s="6">
        <v>1.1499999999999999</v>
      </c>
      <c r="I10" s="6">
        <v>1.1499999999999999</v>
      </c>
    </row>
    <row r="11" spans="1:9" ht="12.75" customHeight="1">
      <c r="A11" s="26"/>
      <c r="B11" s="7" t="s">
        <v>16</v>
      </c>
      <c r="C11" s="8">
        <v>130</v>
      </c>
      <c r="D11" s="9">
        <v>2.89</v>
      </c>
      <c r="E11" s="9">
        <v>2.89</v>
      </c>
      <c r="F11" s="9">
        <v>1.3</v>
      </c>
      <c r="G11" s="9">
        <v>1.3</v>
      </c>
      <c r="H11" s="9">
        <v>1.25</v>
      </c>
      <c r="I11" s="9">
        <v>1.1499999999999999</v>
      </c>
    </row>
  </sheetData>
  <mergeCells count="3">
    <mergeCell ref="A1:I1"/>
    <mergeCell ref="A2:A6"/>
    <mergeCell ref="A7:A11"/>
  </mergeCells>
  <hyperlinks>
    <hyperlink ref="A1" r:id="rId1" display="https://www.jet-airways-stl.com/AngularPublic/dslscreen/index.html?code=fhUPKdzgn7LwlkkJ" xr:uid="{00000000-0004-0000-03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9.33203125" defaultRowHeight="12.75"/>
  <cols>
    <col min="1" max="1" width="32.6640625" customWidth="1"/>
    <col min="2" max="2" width="91.83203125" customWidth="1"/>
  </cols>
  <sheetData>
    <row r="1" spans="1:2" ht="170.1" customHeight="1"/>
    <row r="2" spans="1:2" ht="128.25" customHeight="1">
      <c r="A2" s="12"/>
      <c r="B2" s="13" t="s">
        <v>17</v>
      </c>
    </row>
  </sheetData>
  <hyperlinks>
    <hyperlink ref="B2" r:id="rId1" display="mailto:azcargo@atc-aviationusa.com" xr:uid="{00000000-0004-0000-0400-000000000000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9632C2-661B-4C99-B584-212CBD993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Tabla1</vt:lpstr>
      <vt:lpstr>Hoja2</vt:lpstr>
      <vt:lpstr>Hoja1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Morch</dc:creator>
  <cp:lastModifiedBy>ANTHONY JOSSUE RAMIREZ FLORES</cp:lastModifiedBy>
  <dcterms:created xsi:type="dcterms:W3CDTF">2026-01-05T17:58:34Z</dcterms:created>
  <dcterms:modified xsi:type="dcterms:W3CDTF">2026-01-05T18:11:11Z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2025-12-22T00:00:00Z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2026-01-05T00:00:00Z</vt:filetime>
  </property>
  <property fmtid="{D5CDD505-2E9C-101B-9397-08002B2CF9AE}" pid="5" name="Producer">
    <vt:lpwstr>Microsoft® Word for Microsoft 365</vt:lpwstr>
  </property>
</Properties>
</file>