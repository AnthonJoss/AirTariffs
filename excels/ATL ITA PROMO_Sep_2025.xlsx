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ext\tariff\air\ita\"/>
    </mc:Choice>
  </mc:AlternateContent>
  <xr:revisionPtr revIDLastSave="0" documentId="8_{21798FB4-6418-4C03-904A-951EE6F9DB31}" xr6:coauthVersionLast="47" xr6:coauthVersionMax="47" xr10:uidLastSave="{00000000-0000-0000-0000-000000000000}"/>
  <bookViews>
    <workbookView xWindow="-120" yWindow="-120" windowWidth="38640" windowHeight="21120" activeTab="6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a1" sheetId="10" r:id="rId6"/>
    <sheet name="Hoja2" sheetId="11" r:id="rId7"/>
    <sheet name="Hoja1" sheetId="9" r:id="rId8"/>
    <sheet name="Table 6" sheetId="6" r:id="rId9"/>
    <sheet name="Table 7" sheetId="7" r:id="rId10"/>
    <sheet name="Table 8" sheetId="8" r:id="rId11"/>
  </sheets>
  <externalReferences>
    <externalReference r:id="rId12"/>
  </externalReferences>
  <definedNames>
    <definedName name="DatosExternos_1" localSheetId="5" hidden="1">Tabla1!$A$1:$I$353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1" l="1"/>
  <c r="L2" i="11"/>
  <c r="O3" i="11" s="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58" i="11"/>
  <c r="O259" i="11"/>
  <c r="O260" i="11"/>
  <c r="O261" i="11"/>
  <c r="O262" i="11"/>
  <c r="O263" i="11"/>
  <c r="O264" i="11"/>
  <c r="O265" i="11"/>
  <c r="O266" i="11"/>
  <c r="O267" i="11"/>
  <c r="O268" i="11"/>
  <c r="O269" i="11"/>
  <c r="O270" i="11"/>
  <c r="O271" i="11"/>
  <c r="O272" i="11"/>
  <c r="O273" i="11"/>
  <c r="O274" i="11"/>
  <c r="O275" i="11"/>
  <c r="O276" i="11"/>
  <c r="O277" i="11"/>
  <c r="O278" i="11"/>
  <c r="O279" i="11"/>
  <c r="O280" i="11"/>
  <c r="O281" i="11"/>
  <c r="O282" i="11"/>
  <c r="O283" i="11"/>
  <c r="O284" i="11"/>
  <c r="O285" i="11"/>
  <c r="O286" i="11"/>
  <c r="O287" i="11"/>
  <c r="O288" i="11"/>
  <c r="O289" i="11"/>
  <c r="O290" i="11"/>
  <c r="O291" i="11"/>
  <c r="O292" i="11"/>
  <c r="O293" i="11"/>
  <c r="O294" i="11"/>
  <c r="O295" i="11"/>
  <c r="O296" i="11"/>
  <c r="O297" i="11"/>
  <c r="O298" i="11"/>
  <c r="O299" i="11"/>
  <c r="O300" i="11"/>
  <c r="O301" i="11"/>
  <c r="O302" i="11"/>
  <c r="O303" i="11"/>
  <c r="O304" i="11"/>
  <c r="O305" i="11"/>
  <c r="O306" i="11"/>
  <c r="O307" i="11"/>
  <c r="O308" i="11"/>
  <c r="O309" i="11"/>
  <c r="O310" i="11"/>
  <c r="O311" i="11"/>
  <c r="O312" i="11"/>
  <c r="O313" i="11"/>
  <c r="O314" i="11"/>
  <c r="O315" i="11"/>
  <c r="O316" i="11"/>
  <c r="O317" i="11"/>
  <c r="O318" i="11"/>
  <c r="O319" i="11"/>
  <c r="O320" i="11"/>
  <c r="O321" i="11"/>
  <c r="O322" i="11"/>
  <c r="O323" i="11"/>
  <c r="O324" i="11"/>
  <c r="O325" i="11"/>
  <c r="O326" i="11"/>
  <c r="O327" i="11"/>
  <c r="O328" i="11"/>
  <c r="O329" i="11"/>
  <c r="O330" i="11"/>
  <c r="O331" i="11"/>
  <c r="O332" i="11"/>
  <c r="O333" i="11"/>
  <c r="O334" i="11"/>
  <c r="O335" i="11"/>
  <c r="O336" i="11"/>
  <c r="O337" i="11"/>
  <c r="O338" i="11"/>
  <c r="O339" i="11"/>
  <c r="O340" i="11"/>
  <c r="O341" i="11"/>
  <c r="O342" i="11"/>
  <c r="O343" i="11"/>
  <c r="O344" i="11"/>
  <c r="O345" i="11"/>
  <c r="O346" i="11"/>
  <c r="O347" i="11"/>
  <c r="O348" i="11"/>
  <c r="O349" i="11"/>
  <c r="O350" i="11"/>
  <c r="O351" i="11"/>
  <c r="O352" i="11"/>
  <c r="O353" i="11"/>
  <c r="O354" i="11"/>
  <c r="O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M230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248" i="11"/>
  <c r="M249" i="11"/>
  <c r="M250" i="11"/>
  <c r="M251" i="11"/>
  <c r="M252" i="11"/>
  <c r="M253" i="11"/>
  <c r="M254" i="11"/>
  <c r="M255" i="11"/>
  <c r="M256" i="11"/>
  <c r="M257" i="11"/>
  <c r="M258" i="11"/>
  <c r="M259" i="11"/>
  <c r="M260" i="11"/>
  <c r="M261" i="11"/>
  <c r="M262" i="11"/>
  <c r="M263" i="11"/>
  <c r="M264" i="11"/>
  <c r="M265" i="11"/>
  <c r="M266" i="11"/>
  <c r="M267" i="11"/>
  <c r="M268" i="11"/>
  <c r="M269" i="11"/>
  <c r="M270" i="11"/>
  <c r="M271" i="11"/>
  <c r="M272" i="11"/>
  <c r="M273" i="11"/>
  <c r="M274" i="11"/>
  <c r="M275" i="11"/>
  <c r="M276" i="11"/>
  <c r="M277" i="11"/>
  <c r="M278" i="11"/>
  <c r="M279" i="11"/>
  <c r="M280" i="11"/>
  <c r="M281" i="11"/>
  <c r="M282" i="11"/>
  <c r="M283" i="11"/>
  <c r="M284" i="11"/>
  <c r="M285" i="11"/>
  <c r="M286" i="11"/>
  <c r="M287" i="11"/>
  <c r="M288" i="11"/>
  <c r="M289" i="11"/>
  <c r="M290" i="11"/>
  <c r="M291" i="11"/>
  <c r="M292" i="11"/>
  <c r="M293" i="11"/>
  <c r="M294" i="11"/>
  <c r="M295" i="11"/>
  <c r="M296" i="11"/>
  <c r="M297" i="11"/>
  <c r="M298" i="11"/>
  <c r="M299" i="11"/>
  <c r="M300" i="11"/>
  <c r="M301" i="11"/>
  <c r="M302" i="11"/>
  <c r="M303" i="11"/>
  <c r="M304" i="11"/>
  <c r="M305" i="11"/>
  <c r="M306" i="11"/>
  <c r="M307" i="11"/>
  <c r="M308" i="11"/>
  <c r="M309" i="11"/>
  <c r="M310" i="11"/>
  <c r="M311" i="11"/>
  <c r="M312" i="11"/>
  <c r="M313" i="11"/>
  <c r="M314" i="11"/>
  <c r="M315" i="11"/>
  <c r="M316" i="11"/>
  <c r="M317" i="11"/>
  <c r="M318" i="11"/>
  <c r="M319" i="11"/>
  <c r="M320" i="11"/>
  <c r="M321" i="11"/>
  <c r="M322" i="11"/>
  <c r="M323" i="11"/>
  <c r="M324" i="11"/>
  <c r="M325" i="11"/>
  <c r="M326" i="11"/>
  <c r="M327" i="11"/>
  <c r="M328" i="11"/>
  <c r="M329" i="11"/>
  <c r="M330" i="11"/>
  <c r="M331" i="11"/>
  <c r="M332" i="11"/>
  <c r="M333" i="11"/>
  <c r="M334" i="11"/>
  <c r="M335" i="11"/>
  <c r="M336" i="11"/>
  <c r="M337" i="11"/>
  <c r="M338" i="11"/>
  <c r="M339" i="11"/>
  <c r="M340" i="11"/>
  <c r="M341" i="11"/>
  <c r="M342" i="11"/>
  <c r="M343" i="11"/>
  <c r="M344" i="11"/>
  <c r="M345" i="11"/>
  <c r="M346" i="11"/>
  <c r="M347" i="11"/>
  <c r="M348" i="11"/>
  <c r="M349" i="11"/>
  <c r="M350" i="11"/>
  <c r="M351" i="11"/>
  <c r="M352" i="11"/>
  <c r="M353" i="11"/>
  <c r="M354" i="11"/>
  <c r="M2" i="11"/>
  <c r="C103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977797-68CB-4748-8B2C-C514E89508C0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<sst xmlns="http://schemas.openxmlformats.org/spreadsheetml/2006/main" count="3225" uniqueCount="176">
  <si>
    <r>
      <rPr>
        <sz val="16"/>
        <color rgb="FFC00000"/>
        <rFont val="Tahoma"/>
        <family val="2"/>
      </rPr>
      <t>Promo July and September Atlanta ATL via MIA / IAD</t>
    </r>
  </si>
  <si>
    <r>
      <rPr>
        <sz val="8"/>
        <color rgb="FFFFFFFF"/>
        <rFont val="Tahoma"/>
        <family val="2"/>
      </rPr>
      <t>Flight #</t>
    </r>
  </si>
  <si>
    <r>
      <rPr>
        <sz val="8"/>
        <color rgb="FFFFFFFF"/>
        <rFont val="Tahoma"/>
        <family val="2"/>
      </rPr>
      <t>Date</t>
    </r>
  </si>
  <si>
    <r>
      <rPr>
        <sz val="8"/>
        <color rgb="FFFFFFFF"/>
        <rFont val="Tahoma"/>
        <family val="2"/>
      </rPr>
      <t>Frequency</t>
    </r>
  </si>
  <si>
    <r>
      <rPr>
        <sz val="8"/>
        <color rgb="FFFFFFFF"/>
        <rFont val="Tahoma"/>
        <family val="2"/>
      </rPr>
      <t>Origin</t>
    </r>
  </si>
  <si>
    <r>
      <rPr>
        <sz val="8"/>
        <color rgb="FFFFFFFF"/>
        <rFont val="Tahoma"/>
        <family val="2"/>
      </rPr>
      <t>Departure Time</t>
    </r>
  </si>
  <si>
    <r>
      <rPr>
        <sz val="8"/>
        <color rgb="FFFFFFFF"/>
        <rFont val="Tahoma"/>
        <family val="2"/>
      </rPr>
      <t>Destination</t>
    </r>
  </si>
  <si>
    <r>
      <rPr>
        <sz val="8"/>
        <color rgb="FFFFFFFF"/>
        <rFont val="Tahoma"/>
        <family val="2"/>
      </rPr>
      <t>Arrival Time</t>
    </r>
  </si>
  <si>
    <r>
      <rPr>
        <sz val="8"/>
        <color rgb="FFFFFFFF"/>
        <rFont val="Tahoma"/>
        <family val="2"/>
      </rPr>
      <t>Aircraft</t>
    </r>
  </si>
  <si>
    <r>
      <rPr>
        <sz val="8"/>
        <rFont val="Tahoma"/>
        <family val="2"/>
      </rPr>
      <t>AZ  631</t>
    </r>
  </si>
  <si>
    <r>
      <rPr>
        <sz val="8"/>
        <rFont val="Tahoma"/>
        <family val="2"/>
      </rPr>
      <t>01-30Sep</t>
    </r>
  </si>
  <si>
    <r>
      <rPr>
        <sz val="8"/>
        <rFont val="Tahoma"/>
        <family val="2"/>
      </rPr>
      <t>MIA</t>
    </r>
  </si>
  <si>
    <r>
      <rPr>
        <sz val="8"/>
        <rFont val="Tahoma"/>
        <family val="2"/>
      </rPr>
      <t>19:30</t>
    </r>
  </si>
  <si>
    <r>
      <rPr>
        <sz val="8"/>
        <rFont val="Tahoma"/>
        <family val="2"/>
      </rPr>
      <t>FCO</t>
    </r>
  </si>
  <si>
    <r>
      <rPr>
        <sz val="8"/>
        <rFont val="Tahoma"/>
        <family val="2"/>
      </rPr>
      <t>11:40+1</t>
    </r>
  </si>
  <si>
    <r>
      <rPr>
        <sz val="8"/>
        <rFont val="Tahoma"/>
        <family val="2"/>
      </rPr>
      <t>A339/A330</t>
    </r>
  </si>
  <si>
    <r>
      <rPr>
        <sz val="8"/>
        <rFont val="Tahoma"/>
        <family val="2"/>
      </rPr>
      <t>AZ 619</t>
    </r>
  </si>
  <si>
    <r>
      <rPr>
        <sz val="8"/>
        <rFont val="Tahoma"/>
        <family val="2"/>
      </rPr>
      <t>IAD</t>
    </r>
  </si>
  <si>
    <r>
      <rPr>
        <sz val="8"/>
        <rFont val="Tahoma"/>
        <family val="2"/>
      </rPr>
      <t>16:30</t>
    </r>
  </si>
  <si>
    <r>
      <rPr>
        <sz val="8"/>
        <rFont val="Tahoma"/>
        <family val="2"/>
      </rPr>
      <t>07:15+1</t>
    </r>
  </si>
  <si>
    <r>
      <rPr>
        <sz val="8"/>
        <rFont val="Tahoma"/>
        <family val="2"/>
      </rPr>
      <t>AZ339/A330</t>
    </r>
  </si>
  <si>
    <r>
      <rPr>
        <sz val="9"/>
        <color rgb="FFC00000"/>
        <rFont val="Tahoma"/>
        <family val="2"/>
      </rPr>
      <t>Widebody Service:</t>
    </r>
  </si>
  <si>
    <r>
      <rPr>
        <sz val="8"/>
        <color rgb="FFFFFFFF"/>
        <rFont val="Tahoma"/>
        <family val="2"/>
      </rPr>
      <t>TO</t>
    </r>
  </si>
  <si>
    <r>
      <rPr>
        <sz val="8"/>
        <color rgb="FFFFFFFF"/>
        <rFont val="Tahoma"/>
        <family val="2"/>
      </rPr>
      <t>MIN</t>
    </r>
  </si>
  <si>
    <r>
      <rPr>
        <sz val="8"/>
        <color rgb="FFFFFFFF"/>
        <rFont val="Tahoma"/>
        <family val="2"/>
      </rPr>
      <t>N</t>
    </r>
  </si>
  <si>
    <r>
      <rPr>
        <sz val="8"/>
        <rFont val="Tahoma"/>
        <family val="2"/>
      </rPr>
      <t>MXP</t>
    </r>
  </si>
  <si>
    <r>
      <rPr>
        <sz val="8"/>
        <rFont val="Tahoma"/>
        <family val="2"/>
      </rPr>
      <t>DEL / BKK</t>
    </r>
  </si>
  <si>
    <r>
      <rPr>
        <sz val="8"/>
        <rFont val="Tahoma"/>
        <family val="2"/>
      </rPr>
      <t>GRU</t>
    </r>
  </si>
  <si>
    <r>
      <rPr>
        <sz val="8"/>
        <rFont val="Tahoma"/>
        <family val="2"/>
      </rPr>
      <t>GIG</t>
    </r>
  </si>
  <si>
    <r>
      <rPr>
        <sz val="8"/>
        <rFont val="Tahoma"/>
        <family val="2"/>
      </rPr>
      <t>GOA/ VCE/ BLQ/ FLR/ TRN</t>
    </r>
  </si>
  <si>
    <r>
      <rPr>
        <sz val="8"/>
        <rFont val="Tahoma"/>
        <family val="2"/>
      </rPr>
      <t>BDS/ BRI/ NAP/ SUF</t>
    </r>
  </si>
  <si>
    <r>
      <rPr>
        <sz val="8"/>
        <rFont val="Tahoma"/>
        <family val="2"/>
      </rPr>
      <t>CTA/ PMO</t>
    </r>
  </si>
  <si>
    <r>
      <rPr>
        <sz val="8"/>
        <rFont val="Tahoma"/>
        <family val="2"/>
      </rPr>
      <t>AMS/ CDG/ BRU/ FRA/ MUC/ SOF</t>
    </r>
  </si>
  <si>
    <r>
      <rPr>
        <sz val="8"/>
        <rFont val="Tahoma"/>
        <family val="2"/>
      </rPr>
      <t>ATH / BCN/ MAD/ ZRH/ GVA/ NCE</t>
    </r>
  </si>
  <si>
    <r>
      <rPr>
        <sz val="8"/>
        <rFont val="Tahoma"/>
        <family val="2"/>
      </rPr>
      <t>TUN/ ALG</t>
    </r>
  </si>
  <si>
    <r>
      <rPr>
        <sz val="8"/>
        <rFont val="Tahoma"/>
        <family val="2"/>
      </rPr>
      <t>CAI</t>
    </r>
  </si>
  <si>
    <r>
      <rPr>
        <sz val="8"/>
        <rFont val="Tahoma"/>
        <family val="2"/>
      </rPr>
      <t>RUH/ JED / MLA</t>
    </r>
  </si>
  <si>
    <r>
      <rPr>
        <sz val="8"/>
        <rFont val="Tahoma"/>
        <family val="2"/>
      </rPr>
      <t>DXB</t>
    </r>
  </si>
  <si>
    <r>
      <rPr>
        <sz val="8"/>
        <rFont val="Tahoma"/>
        <family val="2"/>
      </rPr>
      <t>DSS</t>
    </r>
  </si>
  <si>
    <r>
      <rPr>
        <sz val="8"/>
        <rFont val="Tahoma"/>
        <family val="2"/>
      </rPr>
      <t>MLA</t>
    </r>
  </si>
  <si>
    <r>
      <rPr>
        <sz val="9"/>
        <color rgb="FF006FC0"/>
        <rFont val="Tahoma"/>
        <family val="2"/>
      </rPr>
      <t>Rates all in, valid for General Cargo, Known Shipper only, screening is additional $0.10/kg (min $20.00)</t>
    </r>
  </si>
  <si>
    <r>
      <rPr>
        <sz val="10"/>
        <rFont val="Tahoma"/>
        <family val="2"/>
      </rPr>
      <t>To MIA Drop Station</t>
    </r>
    <r>
      <rPr>
        <i/>
        <sz val="9"/>
        <color rgb="FFFF0000"/>
        <rFont val="Arial"/>
        <family val="2"/>
      </rPr>
      <t xml:space="preserve">: </t>
    </r>
    <r>
      <rPr>
        <b/>
        <sz val="10"/>
        <rFont val="Calibri"/>
        <family val="1"/>
      </rPr>
      <t xml:space="preserve">JetAirways </t>
    </r>
    <r>
      <rPr>
        <sz val="10"/>
        <rFont val="Calibri"/>
        <family val="1"/>
      </rPr>
      <t>C/O Accelerated, Inc</t>
    </r>
    <r>
      <rPr>
        <b/>
        <sz val="10"/>
        <rFont val="Calibri"/>
        <family val="1"/>
      </rPr>
      <t xml:space="preserve">.
</t>
    </r>
    <r>
      <rPr>
        <sz val="9"/>
        <rFont val="Calibri"/>
        <family val="1"/>
      </rPr>
      <t>105 Southfield Parkway STE #100 Forest Park, GA 30297</t>
    </r>
  </si>
  <si>
    <r>
      <rPr>
        <sz val="10"/>
        <rFont val="Tahoma"/>
        <family val="2"/>
      </rPr>
      <t>To IAD Drop Station</t>
    </r>
    <r>
      <rPr>
        <i/>
        <sz val="10"/>
        <color rgb="FFFF0000"/>
        <rFont val="Arial"/>
        <family val="2"/>
      </rPr>
      <t xml:space="preserve">: </t>
    </r>
    <r>
      <rPr>
        <b/>
        <sz val="10"/>
        <rFont val="Calibri"/>
        <family val="1"/>
      </rPr>
      <t xml:space="preserve">JetAirways </t>
    </r>
    <r>
      <rPr>
        <sz val="10"/>
        <rFont val="Calibri"/>
        <family val="1"/>
      </rPr>
      <t xml:space="preserve">C/O Roadsprint
</t>
    </r>
    <r>
      <rPr>
        <sz val="9"/>
        <rFont val="Calibri"/>
        <family val="1"/>
      </rPr>
      <t>610 Airport South Pkwy Suite 100, Atlanta, GA 30349-8611</t>
    </r>
  </si>
  <si>
    <r>
      <rPr>
        <sz val="8"/>
        <rFont val="Tahoma"/>
        <family val="2"/>
      </rPr>
      <t xml:space="preserve">AWB has to be issued in the name of:
</t>
    </r>
    <r>
      <rPr>
        <sz val="8"/>
        <rFont val="Tahoma"/>
        <family val="2"/>
      </rPr>
      <t xml:space="preserve">Italia Trasporto Aereo S.p.A.
</t>
    </r>
    <r>
      <rPr>
        <sz val="8"/>
        <rFont val="Tahoma"/>
        <family val="2"/>
      </rPr>
      <t xml:space="preserve">Via Venti Settembre, 97 | 00187 – ROMA
</t>
    </r>
    <r>
      <rPr>
        <sz val="8"/>
        <rFont val="Tahoma"/>
        <family val="2"/>
      </rPr>
      <t xml:space="preserve">New AWB stock request to:   </t>
    </r>
    <r>
      <rPr>
        <u/>
        <sz val="8"/>
        <color rgb="FF0462C1"/>
        <rFont val="Tahoma"/>
        <family val="2"/>
      </rPr>
      <t xml:space="preserve">azcargo@atc-aviationusa.com
</t>
    </r>
    <r>
      <rPr>
        <sz val="8"/>
        <rFont val="Tahoma"/>
        <family val="2"/>
      </rPr>
      <t xml:space="preserve">ITA Airways Customer Service Office
</t>
    </r>
    <r>
      <rPr>
        <sz val="8"/>
        <rFont val="Tahoma"/>
        <family val="2"/>
      </rPr>
      <t xml:space="preserve">+1 (718) 917-8827 </t>
    </r>
    <r>
      <rPr>
        <u/>
        <sz val="8"/>
        <color rgb="FF0462C1"/>
        <rFont val="Tahoma"/>
        <family val="2"/>
      </rPr>
      <t xml:space="preserve">azcargo@atc-aviationusa.com
</t>
    </r>
    <r>
      <rPr>
        <sz val="8"/>
        <rFont val="Tahoma"/>
        <family val="2"/>
      </rPr>
      <t xml:space="preserve">ATL Sales: Brad Reyburne </t>
    </r>
    <r>
      <rPr>
        <u/>
        <sz val="8"/>
        <color rgb="FF0462C1"/>
        <rFont val="Tahoma"/>
        <family val="2"/>
      </rPr>
      <t>Breyburne@atc-aviatoinusa.com</t>
    </r>
    <r>
      <rPr>
        <sz val="8"/>
        <color rgb="FF0462C1"/>
        <rFont val="Tahoma"/>
        <family val="2"/>
      </rPr>
      <t xml:space="preserve"> </t>
    </r>
    <r>
      <rPr>
        <sz val="8"/>
        <rFont val="Tahoma"/>
        <family val="2"/>
      </rPr>
      <t>+1 770 527 8698</t>
    </r>
  </si>
  <si>
    <t>TO</t>
  </si>
  <si>
    <t>MIN</t>
  </si>
  <si>
    <t>N</t>
  </si>
  <si>
    <t>FCO</t>
  </si>
  <si>
    <t>MXP</t>
  </si>
  <si>
    <t>GRU</t>
  </si>
  <si>
    <t>GIG</t>
  </si>
  <si>
    <t>CAI</t>
  </si>
  <si>
    <t>DXB</t>
  </si>
  <si>
    <t>DSS</t>
  </si>
  <si>
    <t>MLA</t>
  </si>
  <si>
    <t>ATL</t>
  </si>
  <si>
    <t>BOS</t>
  </si>
  <si>
    <t>IAD</t>
  </si>
  <si>
    <t>MIA</t>
  </si>
  <si>
    <t>LAX</t>
  </si>
  <si>
    <t>JFK</t>
  </si>
  <si>
    <t>RUH/JED</t>
  </si>
  <si>
    <t>ORD</t>
  </si>
  <si>
    <t>IAH/DFW</t>
  </si>
  <si>
    <t>1..90</t>
  </si>
  <si>
    <t>SFO</t>
  </si>
  <si>
    <t>130</t>
  </si>
  <si>
    <t>2.89</t>
  </si>
  <si>
    <t>0.85</t>
  </si>
  <si>
    <t>0.8</t>
  </si>
  <si>
    <t>0.75</t>
  </si>
  <si>
    <t>0.7</t>
  </si>
  <si>
    <t>1.05</t>
  </si>
  <si>
    <t>1</t>
  </si>
  <si>
    <t>0.95</t>
  </si>
  <si>
    <t>0.9</t>
  </si>
  <si>
    <t>DEL/BKK</t>
  </si>
  <si>
    <t>4.5</t>
  </si>
  <si>
    <t>3.8</t>
  </si>
  <si>
    <t>1.5</t>
  </si>
  <si>
    <t>1.4</t>
  </si>
  <si>
    <t>1.3</t>
  </si>
  <si>
    <t>1.2</t>
  </si>
  <si>
    <t>2.8</t>
  </si>
  <si>
    <t>2.7</t>
  </si>
  <si>
    <t>2.6</t>
  </si>
  <si>
    <t>2.5</t>
  </si>
  <si>
    <t>2.3</t>
  </si>
  <si>
    <t>2.2</t>
  </si>
  <si>
    <t>2.1</t>
  </si>
  <si>
    <t>2</t>
  </si>
  <si>
    <t>GOA/VCE/BLQ/FLR/TRN</t>
  </si>
  <si>
    <t>1.15</t>
  </si>
  <si>
    <t>BDS/BRI/NAP/SUF</t>
  </si>
  <si>
    <t>CTA/PMO</t>
  </si>
  <si>
    <t>AMS/CDG/BRU/FRA/MUC/SOF</t>
  </si>
  <si>
    <t>ATH/BCN/MAD/ZRH/GVA/NCE</t>
  </si>
  <si>
    <t>TUN/ALG</t>
  </si>
  <si>
    <t>2.15</t>
  </si>
  <si>
    <t>2.05</t>
  </si>
  <si>
    <t>1.95</t>
  </si>
  <si>
    <t>1.85</t>
  </si>
  <si>
    <t>1.75</t>
  </si>
  <si>
    <t>1.65</t>
  </si>
  <si>
    <t>1.55</t>
  </si>
  <si>
    <t>1.45</t>
  </si>
  <si>
    <t>RUH/JED/MLA</t>
  </si>
  <si>
    <t>1.35</t>
  </si>
  <si>
    <t>2.4</t>
  </si>
  <si>
    <t>100</t>
  </si>
  <si>
    <t>1.25</t>
  </si>
  <si>
    <t>1.1</t>
  </si>
  <si>
    <t>ATH/BCN/MAD/ZRH/GVA/NCE/TIA</t>
  </si>
  <si>
    <t>TUN/ALG/MLA</t>
  </si>
  <si>
    <t>TUN,ALG/MLA</t>
  </si>
  <si>
    <t>1.6</t>
  </si>
  <si>
    <t>1.7</t>
  </si>
  <si>
    <t>AMS/CDG/BRU/FRA/MUC</t>
  </si>
  <si>
    <t>ATH/BCN/MAD/ZRH/GVA/NCE/SOF</t>
  </si>
  <si>
    <t>2.35</t>
  </si>
  <si>
    <t>2.25</t>
  </si>
  <si>
    <t>MXP(RFSservice)</t>
  </si>
  <si>
    <t>ATH/BCN/MAD/ZRH/GVA/NCE/SOF/TIA</t>
  </si>
  <si>
    <t>0.65</t>
  </si>
  <si>
    <t>AMS/CDG/BRU/FRA/MUC/SOF/TIA</t>
  </si>
  <si>
    <t>0.87</t>
  </si>
  <si>
    <t>1.8</t>
  </si>
  <si>
    <t>BDS/BRI/NAP/CTA/PMO</t>
  </si>
  <si>
    <t>TUN,ALG</t>
  </si>
  <si>
    <t>1.9</t>
  </si>
  <si>
    <t>3.05</t>
  </si>
  <si>
    <t>2.95</t>
  </si>
  <si>
    <t>2.85</t>
  </si>
  <si>
    <t>2.75</t>
  </si>
  <si>
    <t>Columna1</t>
  </si>
  <si>
    <t>45</t>
  </si>
  <si>
    <t>300</t>
  </si>
  <si>
    <t>500</t>
  </si>
  <si>
    <t>1000</t>
  </si>
  <si>
    <t>DEL</t>
  </si>
  <si>
    <t>BKK</t>
  </si>
  <si>
    <t>GOA</t>
  </si>
  <si>
    <t>VCE</t>
  </si>
  <si>
    <t>BLQ</t>
  </si>
  <si>
    <t>FLR</t>
  </si>
  <si>
    <t>TRN</t>
  </si>
  <si>
    <t>BDS</t>
  </si>
  <si>
    <t>BRI</t>
  </si>
  <si>
    <t>NAP</t>
  </si>
  <si>
    <t>SUF</t>
  </si>
  <si>
    <t>CTA</t>
  </si>
  <si>
    <t>PMO</t>
  </si>
  <si>
    <t>AMS</t>
  </si>
  <si>
    <t>CDG</t>
  </si>
  <si>
    <t>BRU</t>
  </si>
  <si>
    <t>FRA</t>
  </si>
  <si>
    <t>MUC</t>
  </si>
  <si>
    <t>SOF</t>
  </si>
  <si>
    <t>ATH</t>
  </si>
  <si>
    <t>BCN</t>
  </si>
  <si>
    <t>MAD</t>
  </si>
  <si>
    <t>ZRH</t>
  </si>
  <si>
    <t>GVA</t>
  </si>
  <si>
    <t>NCE</t>
  </si>
  <si>
    <t>TUN</t>
  </si>
  <si>
    <t>ALG</t>
  </si>
  <si>
    <t>RUH</t>
  </si>
  <si>
    <t>JED</t>
  </si>
  <si>
    <t>TIA</t>
  </si>
  <si>
    <t>IAH</t>
  </si>
  <si>
    <t>DFW</t>
  </si>
  <si>
    <t>comment</t>
  </si>
  <si>
    <t>origin_id</t>
  </si>
  <si>
    <t>commodity_id</t>
  </si>
  <si>
    <t>insert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</si>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</sst>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 x14ac:knownFonts="1">
    <font>
      <sz val="10"/>
      <color rgb="FF000000"/>
      <name val="Times New Roman"/>
      <charset val="204"/>
    </font>
    <font>
      <sz val="16"/>
      <name val="Tahoma"/>
      <family val="2"/>
    </font>
    <font>
      <sz val="8"/>
      <name val="Tahoma"/>
      <family val="2"/>
    </font>
    <font>
      <sz val="8"/>
      <color rgb="FF000000"/>
      <name val="Tahoma"/>
      <family val="2"/>
    </font>
    <font>
      <sz val="9"/>
      <name val="Tahoma"/>
      <family val="2"/>
    </font>
    <font>
      <sz val="8"/>
      <color rgb="FFFFFFFF"/>
      <name val="Tahoma"/>
      <family val="2"/>
    </font>
    <font>
      <sz val="16"/>
      <color rgb="FFC00000"/>
      <name val="Tahoma"/>
      <family val="2"/>
    </font>
    <font>
      <sz val="9"/>
      <color rgb="FFC00000"/>
      <name val="Tahoma"/>
      <family val="2"/>
    </font>
    <font>
      <sz val="9"/>
      <color rgb="FF006FC0"/>
      <name val="Tahoma"/>
      <family val="2"/>
    </font>
    <font>
      <sz val="10"/>
      <name val="Tahoma"/>
      <family val="2"/>
    </font>
    <font>
      <i/>
      <sz val="9"/>
      <color rgb="FFFF0000"/>
      <name val="Arial"/>
      <family val="2"/>
    </font>
    <font>
      <b/>
      <sz val="10"/>
      <name val="Calibri"/>
      <family val="1"/>
    </font>
    <font>
      <sz val="10"/>
      <name val="Calibri"/>
      <family val="1"/>
    </font>
    <font>
      <sz val="9"/>
      <name val="Calibri"/>
      <family val="1"/>
    </font>
    <font>
      <i/>
      <sz val="10"/>
      <color rgb="FFFF0000"/>
      <name val="Arial"/>
      <family val="2"/>
    </font>
    <font>
      <u/>
      <sz val="8"/>
      <color rgb="FF0462C1"/>
      <name val="Tahoma"/>
      <family val="2"/>
    </font>
    <font>
      <sz val="8"/>
      <color rgb="FF0462C1"/>
      <name val="Tahoma"/>
      <family val="2"/>
    </font>
    <font>
      <sz val="10"/>
      <color rgb="FF000000"/>
      <name val="Times New Roman"/>
      <family val="1"/>
    </font>
    <font>
      <sz val="10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6FC0"/>
      </patternFill>
    </fill>
    <fill>
      <patternFill patternType="solid">
        <fgColor rgb="FFD9E1F3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67070"/>
      </left>
      <right style="thin">
        <color rgb="FF767070"/>
      </right>
      <top style="thin">
        <color rgb="FF767070"/>
      </top>
      <bottom style="thin">
        <color rgb="FF76707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1" fontId="3" fillId="0" borderId="2" xfId="0" applyNumberFormat="1" applyFont="1" applyFill="1" applyBorder="1" applyAlignment="1">
      <alignment horizontal="center" vertical="top" shrinkToFit="1"/>
    </xf>
    <xf numFmtId="164" fontId="3" fillId="0" borderId="2" xfId="0" applyNumberFormat="1" applyFont="1" applyFill="1" applyBorder="1" applyAlignment="1">
      <alignment horizontal="center" vertical="top" shrinkToFit="1"/>
    </xf>
    <xf numFmtId="0" fontId="4" fillId="0" borderId="0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right" vertical="top" wrapText="1"/>
    </xf>
    <xf numFmtId="1" fontId="5" fillId="2" borderId="2" xfId="0" applyNumberFormat="1" applyFont="1" applyFill="1" applyBorder="1" applyAlignment="1">
      <alignment horizontal="right" vertical="top" shrinkToFit="1"/>
    </xf>
    <xf numFmtId="1" fontId="5" fillId="2" borderId="2" xfId="0" applyNumberFormat="1" applyFont="1" applyFill="1" applyBorder="1" applyAlignment="1">
      <alignment horizontal="left" vertical="top" indent="5" shrinkToFit="1"/>
    </xf>
    <xf numFmtId="0" fontId="2" fillId="0" borderId="2" xfId="0" applyFont="1" applyFill="1" applyBorder="1" applyAlignment="1">
      <alignment horizontal="left" vertical="top" wrapText="1"/>
    </xf>
    <xf numFmtId="1" fontId="3" fillId="0" borderId="2" xfId="0" applyNumberFormat="1" applyFont="1" applyFill="1" applyBorder="1" applyAlignment="1">
      <alignment horizontal="left" vertical="top" indent="3" shrinkToFit="1"/>
    </xf>
    <xf numFmtId="2" fontId="3" fillId="0" borderId="2" xfId="0" applyNumberFormat="1" applyFont="1" applyFill="1" applyBorder="1" applyAlignment="1">
      <alignment horizontal="left" vertical="top" indent="2" shrinkToFit="1"/>
    </xf>
    <xf numFmtId="2" fontId="3" fillId="0" borderId="2" xfId="0" applyNumberFormat="1" applyFont="1" applyFill="1" applyBorder="1" applyAlignment="1">
      <alignment horizontal="left" vertical="top" indent="3" shrinkToFit="1"/>
    </xf>
    <xf numFmtId="0" fontId="2" fillId="3" borderId="2" xfId="0" applyFont="1" applyFill="1" applyBorder="1" applyAlignment="1">
      <alignment horizontal="left" vertical="top" wrapText="1"/>
    </xf>
    <xf numFmtId="1" fontId="3" fillId="3" borderId="2" xfId="0" applyNumberFormat="1" applyFont="1" applyFill="1" applyBorder="1" applyAlignment="1">
      <alignment horizontal="left" vertical="top" indent="3" shrinkToFit="1"/>
    </xf>
    <xf numFmtId="2" fontId="3" fillId="3" borderId="2" xfId="0" applyNumberFormat="1" applyFont="1" applyFill="1" applyBorder="1" applyAlignment="1">
      <alignment horizontal="left" vertical="top" indent="2" shrinkToFit="1"/>
    </xf>
    <xf numFmtId="2" fontId="3" fillId="3" borderId="2" xfId="0" applyNumberFormat="1" applyFont="1" applyFill="1" applyBorder="1" applyAlignment="1">
      <alignment horizontal="left" vertical="top" indent="3" shrinkToFit="1"/>
    </xf>
    <xf numFmtId="0" fontId="4" fillId="0" borderId="0" xfId="0" applyFont="1" applyFill="1" applyBorder="1" applyAlignment="1">
      <alignment horizontal="left" vertical="top" wrapText="1" indent="13"/>
    </xf>
    <xf numFmtId="0" fontId="0" fillId="0" borderId="3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 indent="6"/>
    </xf>
    <xf numFmtId="0" fontId="0" fillId="0" borderId="0" xfId="0" applyFill="1" applyBorder="1" applyAlignment="1">
      <alignment horizontal="left" wrapText="1"/>
    </xf>
    <xf numFmtId="0" fontId="17" fillId="0" borderId="0" xfId="0" applyFont="1" applyFill="1" applyBorder="1" applyAlignment="1">
      <alignment horizontal="left" vertical="top"/>
    </xf>
    <xf numFmtId="0" fontId="0" fillId="0" borderId="0" xfId="0" applyNumberFormat="1" applyFill="1" applyBorder="1" applyAlignment="1">
      <alignment horizontal="left" vertical="top"/>
    </xf>
    <xf numFmtId="0" fontId="18" fillId="0" borderId="0" xfId="0" applyNumberFormat="1" applyFont="1" applyFill="1" applyBorder="1" applyAlignment="1">
      <alignment horizontal="left" vertical="top"/>
    </xf>
    <xf numFmtId="0" fontId="0" fillId="0" borderId="0" xfId="0"/>
    <xf numFmtId="0" fontId="0" fillId="0" borderId="0" xfId="0" applyAlignment="1">
      <alignment horizontal="left" vertical="top"/>
    </xf>
    <xf numFmtId="0" fontId="17" fillId="0" borderId="0" xfId="0" applyFont="1"/>
  </cellXfs>
  <cellStyles count="1">
    <cellStyle name="Normal" xfId="0" builtinId="0"/>
  </cellStyles>
  <dxfs count="4">
    <dxf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5143</xdr:colOff>
      <xdr:row>1</xdr:row>
      <xdr:rowOff>0</xdr:rowOff>
    </xdr:from>
    <xdr:ext cx="6944995" cy="1784985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5143" y="390525"/>
          <a:ext cx="6944995" cy="1784985"/>
          <a:chOff x="0" y="0"/>
          <a:chExt cx="6944995" cy="178498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SpPr/>
        </xdr:nvSpPr>
        <xdr:spPr>
          <a:xfrm>
            <a:off x="0" y="0"/>
            <a:ext cx="6941820" cy="172720"/>
          </a:xfrm>
          <a:custGeom>
            <a:avLst/>
            <a:gdLst/>
            <a:ahLst/>
            <a:cxnLst/>
            <a:rect l="0" t="0" r="0" b="0"/>
            <a:pathLst>
              <a:path w="6941820" h="172720">
                <a:moveTo>
                  <a:pt x="505396" y="0"/>
                </a:moveTo>
                <a:lnTo>
                  <a:pt x="0" y="0"/>
                </a:lnTo>
                <a:lnTo>
                  <a:pt x="0" y="172212"/>
                </a:lnTo>
                <a:lnTo>
                  <a:pt x="505396" y="172212"/>
                </a:lnTo>
                <a:lnTo>
                  <a:pt x="505396" y="0"/>
                </a:lnTo>
                <a:close/>
              </a:path>
              <a:path w="6941820" h="172720">
                <a:moveTo>
                  <a:pt x="6941566" y="0"/>
                </a:moveTo>
                <a:lnTo>
                  <a:pt x="6424231" y="0"/>
                </a:lnTo>
                <a:lnTo>
                  <a:pt x="6424231" y="172212"/>
                </a:lnTo>
                <a:lnTo>
                  <a:pt x="6941566" y="172212"/>
                </a:lnTo>
                <a:lnTo>
                  <a:pt x="6941566" y="0"/>
                </a:lnTo>
                <a:close/>
              </a:path>
            </a:pathLst>
          </a:custGeom>
          <a:solidFill>
            <a:srgbClr val="006FC0">
              <a:alpha val="50000"/>
            </a:srgbClr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0" y="172288"/>
            <a:ext cx="6944995" cy="1612900"/>
          </a:xfrm>
          <a:custGeom>
            <a:avLst/>
            <a:gdLst/>
            <a:ahLst/>
            <a:cxnLst/>
            <a:rect l="0" t="0" r="0" b="0"/>
            <a:pathLst>
              <a:path w="6944995" h="1612900">
                <a:moveTo>
                  <a:pt x="2265286" y="0"/>
                </a:moveTo>
                <a:lnTo>
                  <a:pt x="15240" y="0"/>
                </a:lnTo>
                <a:lnTo>
                  <a:pt x="0" y="0"/>
                </a:lnTo>
                <a:lnTo>
                  <a:pt x="0" y="1612646"/>
                </a:lnTo>
                <a:lnTo>
                  <a:pt x="15240" y="1612646"/>
                </a:lnTo>
                <a:lnTo>
                  <a:pt x="2265286" y="1612646"/>
                </a:lnTo>
                <a:lnTo>
                  <a:pt x="2265286" y="0"/>
                </a:lnTo>
                <a:close/>
              </a:path>
              <a:path w="6944995" h="1612900">
                <a:moveTo>
                  <a:pt x="6944601" y="0"/>
                </a:moveTo>
                <a:lnTo>
                  <a:pt x="6941566" y="0"/>
                </a:lnTo>
                <a:lnTo>
                  <a:pt x="2265299" y="0"/>
                </a:lnTo>
                <a:lnTo>
                  <a:pt x="2265299" y="1612646"/>
                </a:lnTo>
                <a:lnTo>
                  <a:pt x="6941566" y="1612646"/>
                </a:lnTo>
                <a:lnTo>
                  <a:pt x="6944601" y="1612646"/>
                </a:lnTo>
                <a:lnTo>
                  <a:pt x="6944601" y="0"/>
                </a:lnTo>
                <a:close/>
              </a:path>
            </a:pathLst>
          </a:custGeom>
          <a:solidFill>
            <a:srgbClr val="E4E4E4">
              <a:alpha val="50000"/>
            </a:srgbClr>
          </a:solidFill>
        </xdr:spPr>
      </xdr:sp>
    </xdr:grpSp>
    <xdr:clientData/>
  </xdr:oneCellAnchor>
  <xdr:oneCellAnchor>
    <xdr:from>
      <xdr:col>0</xdr:col>
      <xdr:colOff>510540</xdr:colOff>
      <xdr:row>0</xdr:row>
      <xdr:rowOff>392429</xdr:rowOff>
    </xdr:from>
    <xdr:ext cx="5918835" cy="172085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18835" cy="172085"/>
        </a:xfrm>
        <a:prstGeom prst="rect">
          <a:avLst/>
        </a:prstGeom>
      </xdr:spPr>
    </xdr:pic>
    <xdr:clientData/>
  </xdr:oneCellAnchor>
  <xdr:oneCellAnchor>
    <xdr:from>
      <xdr:col>1</xdr:col>
      <xdr:colOff>1240789</xdr:colOff>
      <xdr:row>0</xdr:row>
      <xdr:rowOff>0</xdr:rowOff>
    </xdr:from>
    <xdr:ext cx="2028825" cy="390525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28825" cy="390525"/>
        </a:xfrm>
        <a:prstGeom prst="rect">
          <a:avLst/>
        </a:prstGeom>
      </xdr:spPr>
    </xdr:pic>
    <xdr:clientData/>
  </xdr:oneCellAnchor>
  <xdr:oneCellAnchor>
    <xdr:from>
      <xdr:col>0</xdr:col>
      <xdr:colOff>916622</xdr:colOff>
      <xdr:row>2</xdr:row>
      <xdr:rowOff>338709</xdr:rowOff>
    </xdr:from>
    <xdr:ext cx="457085" cy="932814"/>
    <xdr:pic>
      <xdr:nvPicPr>
        <xdr:cNvPr id="7" name="image3.png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7085" cy="932814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next\tariff\air\SWISS%20OHR%20(2).xlsx" TargetMode="External"/><Relationship Id="rId1" Type="http://schemas.openxmlformats.org/officeDocument/2006/relationships/externalLinkPath" Target="/next/tariff/air/SWISS%20OHR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onsulta1"/>
      <sheetName val="Hoja1"/>
    </sheetNames>
    <sheetDataSet>
      <sheetData sheetId="0"/>
      <sheetData sheetId="1"/>
      <sheetData sheetId="2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B97E588-88B0-4219-AC6E-38866DE0C7A3}" autoFormatId="16" applyNumberFormats="0" applyBorderFormats="0" applyFontFormats="0" applyPatternFormats="0" applyAlignmentFormats="0" applyWidthHeightFormats="0">
  <queryTableRefresh nextId="10">
    <queryTableFields count="9">
      <queryTableField id="1" name="Columna1" tableColumnId="1"/>
      <queryTableField id="2" name="TO" tableColumnId="2"/>
      <queryTableField id="3" name="MIN" tableColumnId="3"/>
      <queryTableField id="4" name="N" tableColumnId="4"/>
      <queryTableField id="5" name="45" tableColumnId="5"/>
      <queryTableField id="6" name="100" tableColumnId="6"/>
      <queryTableField id="7" name="300" tableColumnId="7"/>
      <queryTableField id="8" name="500" tableColumnId="8"/>
      <queryTableField id="9" name="100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15F89E-5B09-4508-9EF3-39A5B231FFD1}" name="Tabla1_1" displayName="Tabla1_1" ref="A1:I353" tableType="queryTable" totalsRowShown="0">
  <autoFilter ref="A1:I353" xr:uid="{3515F89E-5B09-4508-9EF3-39A5B231FFD1}"/>
  <tableColumns count="9">
    <tableColumn id="1" xr3:uid="{C7591623-3B42-4A47-AA35-608E33D292DF}" uniqueName="1" name="Columna1" queryTableFieldId="1" dataDxfId="2"/>
    <tableColumn id="2" xr3:uid="{BFF0137C-DECB-4363-98C5-26516C0D3892}" uniqueName="2" name="TO" queryTableFieldId="2" dataDxfId="1"/>
    <tableColumn id="3" xr3:uid="{645E0531-341D-49B0-A5C7-5D77F9EEBC1A}" uniqueName="3" name="MIN" queryTableFieldId="3"/>
    <tableColumn id="4" xr3:uid="{73EFA69C-5287-4D1D-BF8A-E287792FA777}" uniqueName="4" name="N" queryTableFieldId="4"/>
    <tableColumn id="5" xr3:uid="{B64B90F9-CB75-4207-ABA8-E34162EBD58F}" uniqueName="5" name="45" queryTableFieldId="5"/>
    <tableColumn id="6" xr3:uid="{FFE44AFA-F841-4B09-A0C7-38AB74E0F7E7}" uniqueName="6" name="100" queryTableFieldId="6"/>
    <tableColumn id="7" xr3:uid="{4C4CAEEC-37A7-4259-AED7-CB817B35B116}" uniqueName="7" name="300" queryTableFieldId="7"/>
    <tableColumn id="8" xr3:uid="{4B477147-6A6E-4ADC-9CE0-08EE0ADD7BF3}" uniqueName="8" name="500" queryTableFieldId="8" dataDxfId="0"/>
    <tableColumn id="9" xr3:uid="{6A2FC767-FFE9-48B0-AC91-D72CA267F392}" uniqueName="9" name="1000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AC45B1-652C-4504-911D-C6D268EEDEDA}" name="Tabla1" displayName="Tabla1" ref="A1:I116" totalsRowShown="0">
  <autoFilter ref="A1:I116" xr:uid="{20AC45B1-652C-4504-911D-C6D268EEDEDA}"/>
  <tableColumns count="9">
    <tableColumn id="1" xr3:uid="{0A7C5CD5-4D7B-4E50-97AD-0099F9F71ED8}" name="Columna1" dataDxfId="3"/>
    <tableColumn id="2" xr3:uid="{40DC2B74-A66D-4A4D-BDD3-FED9C534EBD3}" name="TO"/>
    <tableColumn id="3" xr3:uid="{3C096CD1-AC35-498B-850A-3F35B6516E4B}" name="MIN"/>
    <tableColumn id="4" xr3:uid="{CD7A3E5F-5181-453B-83F3-C5E538C7BA94}" name="N"/>
    <tableColumn id="5" xr3:uid="{15E40844-D753-40FF-8715-0C3FB4BA40B2}" name="45"/>
    <tableColumn id="6" xr3:uid="{8E5634E1-C3F6-4B44-949F-2E3CC807AA4F}" name="100"/>
    <tableColumn id="7" xr3:uid="{33AFF955-F9C9-44C4-8E77-052842A1C34D}" name="300"/>
    <tableColumn id="8" xr3:uid="{3C44E597-0CE1-49FB-A2FD-D827D1D83B4E}" name="500"/>
    <tableColumn id="9" xr3:uid="{89D0037B-8B31-4EF8-A24D-0F1C0DB6A36F}" name="100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zcargo@atc-aviationus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33203125" defaultRowHeight="12.75" x14ac:dyDescent="0.2"/>
  <cols>
    <col min="1" max="1" width="125.5" customWidth="1"/>
  </cols>
  <sheetData>
    <row r="1" spans="1:1" ht="60.95" customHeight="1" x14ac:dyDescent="0.2">
      <c r="A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33203125" defaultRowHeight="12.75" x14ac:dyDescent="0.2"/>
  <cols>
    <col min="1" max="1" width="130.1640625" customWidth="1"/>
  </cols>
  <sheetData>
    <row r="1" spans="1:1" ht="23.25" customHeight="1" x14ac:dyDescent="0.2">
      <c r="A1" s="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/>
  </sheetViews>
  <sheetFormatPr baseColWidth="10" defaultColWidth="9.33203125" defaultRowHeight="12.75" x14ac:dyDescent="0.2"/>
  <cols>
    <col min="1" max="1" width="11.33203125" customWidth="1"/>
    <col min="2" max="2" width="17.33203125" customWidth="1"/>
    <col min="3" max="3" width="12.83203125" customWidth="1"/>
    <col min="4" max="4" width="10" customWidth="1"/>
    <col min="5" max="5" width="20.5" customWidth="1"/>
    <col min="6" max="6" width="18.6640625" customWidth="1"/>
    <col min="7" max="7" width="18" customWidth="1"/>
    <col min="8" max="8" width="14.1640625" customWidth="1"/>
  </cols>
  <sheetData>
    <row r="1" spans="1:8" ht="20.85" customHeight="1" x14ac:dyDescent="0.2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</row>
    <row r="2" spans="1:8" ht="20.85" customHeight="1" x14ac:dyDescent="0.2">
      <c r="A2" s="4" t="s">
        <v>9</v>
      </c>
      <c r="B2" s="4" t="s">
        <v>10</v>
      </c>
      <c r="C2" s="5">
        <v>1234567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spans="1:8" ht="20.85" customHeight="1" x14ac:dyDescent="0.2">
      <c r="A3" s="4" t="s">
        <v>16</v>
      </c>
      <c r="B3" s="4" t="s">
        <v>10</v>
      </c>
      <c r="C3" s="6">
        <v>12.4567</v>
      </c>
      <c r="D3" s="4" t="s">
        <v>17</v>
      </c>
      <c r="E3" s="4" t="s">
        <v>18</v>
      </c>
      <c r="F3" s="4" t="s">
        <v>13</v>
      </c>
      <c r="G3" s="4" t="s">
        <v>19</v>
      </c>
      <c r="H3" s="4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9.33203125" defaultRowHeight="12.75" x14ac:dyDescent="0.2"/>
  <cols>
    <col min="1" max="1" width="130.1640625" customWidth="1"/>
  </cols>
  <sheetData>
    <row r="1" spans="1:1" ht="13.5" customHeight="1" x14ac:dyDescent="0.2">
      <c r="A1" s="7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workbookViewId="0">
      <selection sqref="A1:H17"/>
    </sheetView>
  </sheetViews>
  <sheetFormatPr baseColWidth="10" defaultColWidth="9.33203125" defaultRowHeight="12.75" x14ac:dyDescent="0.2"/>
  <cols>
    <col min="1" max="1" width="29.83203125" customWidth="1"/>
    <col min="2" max="2" width="14" customWidth="1"/>
    <col min="3" max="3" width="11.83203125" customWidth="1"/>
    <col min="4" max="8" width="14" customWidth="1"/>
  </cols>
  <sheetData>
    <row r="1" spans="1:8" ht="15.6" customHeight="1" x14ac:dyDescent="0.2">
      <c r="A1" s="8" t="s">
        <v>22</v>
      </c>
      <c r="B1" s="9" t="s">
        <v>23</v>
      </c>
      <c r="C1" s="9" t="s">
        <v>24</v>
      </c>
      <c r="D1" s="10">
        <v>45</v>
      </c>
      <c r="E1" s="10">
        <v>100</v>
      </c>
      <c r="F1" s="10">
        <v>300</v>
      </c>
      <c r="G1" s="10">
        <v>500</v>
      </c>
      <c r="H1" s="11">
        <v>1000</v>
      </c>
    </row>
    <row r="2" spans="1:8" ht="15.6" customHeight="1" x14ac:dyDescent="0.2">
      <c r="A2" s="12" t="s">
        <v>13</v>
      </c>
      <c r="B2" s="13">
        <v>130</v>
      </c>
      <c r="C2" s="14">
        <v>2.89</v>
      </c>
      <c r="D2" s="15">
        <v>2.89</v>
      </c>
      <c r="E2" s="15">
        <v>0.85</v>
      </c>
      <c r="F2" s="15">
        <v>0.8</v>
      </c>
      <c r="G2" s="15">
        <v>0.75</v>
      </c>
      <c r="H2" s="15">
        <v>0.7</v>
      </c>
    </row>
    <row r="3" spans="1:8" ht="15.6" customHeight="1" x14ac:dyDescent="0.2">
      <c r="A3" s="16" t="s">
        <v>25</v>
      </c>
      <c r="B3" s="17">
        <v>130</v>
      </c>
      <c r="C3" s="18">
        <v>2.89</v>
      </c>
      <c r="D3" s="19">
        <v>2.89</v>
      </c>
      <c r="E3" s="19">
        <v>1.05</v>
      </c>
      <c r="F3" s="19">
        <v>1</v>
      </c>
      <c r="G3" s="19">
        <v>0.95</v>
      </c>
      <c r="H3" s="19">
        <v>0.9</v>
      </c>
    </row>
    <row r="4" spans="1:8" ht="15.6" customHeight="1" x14ac:dyDescent="0.2">
      <c r="A4" s="12" t="s">
        <v>26</v>
      </c>
      <c r="B4" s="13">
        <v>130</v>
      </c>
      <c r="C4" s="14">
        <v>4.5</v>
      </c>
      <c r="D4" s="15">
        <v>3.8</v>
      </c>
      <c r="E4" s="15">
        <v>1.5</v>
      </c>
      <c r="F4" s="15">
        <v>1.4</v>
      </c>
      <c r="G4" s="15">
        <v>1.3</v>
      </c>
      <c r="H4" s="15">
        <v>1.2</v>
      </c>
    </row>
    <row r="5" spans="1:8" ht="15.6" customHeight="1" x14ac:dyDescent="0.2">
      <c r="A5" s="16" t="s">
        <v>27</v>
      </c>
      <c r="B5" s="17">
        <v>130</v>
      </c>
      <c r="C5" s="18">
        <v>4.5</v>
      </c>
      <c r="D5" s="19">
        <v>3.8</v>
      </c>
      <c r="E5" s="19">
        <v>2.8</v>
      </c>
      <c r="F5" s="19">
        <v>2.7</v>
      </c>
      <c r="G5" s="19">
        <v>2.6</v>
      </c>
      <c r="H5" s="19">
        <v>2.5</v>
      </c>
    </row>
    <row r="6" spans="1:8" ht="15.6" customHeight="1" x14ac:dyDescent="0.2">
      <c r="A6" s="12" t="s">
        <v>28</v>
      </c>
      <c r="B6" s="13">
        <v>130</v>
      </c>
      <c r="C6" s="14">
        <v>4.5</v>
      </c>
      <c r="D6" s="15">
        <v>3.8</v>
      </c>
      <c r="E6" s="15">
        <v>2.2999999999999998</v>
      </c>
      <c r="F6" s="15">
        <v>2.2000000000000002</v>
      </c>
      <c r="G6" s="15">
        <v>2.1</v>
      </c>
      <c r="H6" s="15">
        <v>2</v>
      </c>
    </row>
    <row r="7" spans="1:8" ht="15.6" customHeight="1" x14ac:dyDescent="0.2">
      <c r="A7" s="16" t="s">
        <v>29</v>
      </c>
      <c r="B7" s="17">
        <v>130</v>
      </c>
      <c r="C7" s="18">
        <v>2.89</v>
      </c>
      <c r="D7" s="19">
        <v>2.89</v>
      </c>
      <c r="E7" s="19">
        <v>1.1499999999999999</v>
      </c>
      <c r="F7" s="19">
        <v>1.05</v>
      </c>
      <c r="G7" s="19">
        <v>0.95</v>
      </c>
      <c r="H7" s="19">
        <v>0.85</v>
      </c>
    </row>
    <row r="8" spans="1:8" ht="15.6" customHeight="1" x14ac:dyDescent="0.2">
      <c r="A8" s="12" t="s">
        <v>30</v>
      </c>
      <c r="B8" s="13">
        <v>130</v>
      </c>
      <c r="C8" s="14">
        <v>2.89</v>
      </c>
      <c r="D8" s="15">
        <v>2.89</v>
      </c>
      <c r="E8" s="15">
        <v>1.1499999999999999</v>
      </c>
      <c r="F8" s="15">
        <v>1.05</v>
      </c>
      <c r="G8" s="15">
        <v>0.95</v>
      </c>
      <c r="H8" s="15">
        <v>0.85</v>
      </c>
    </row>
    <row r="9" spans="1:8" ht="15.6" customHeight="1" x14ac:dyDescent="0.2">
      <c r="A9" s="16" t="s">
        <v>31</v>
      </c>
      <c r="B9" s="17">
        <v>130</v>
      </c>
      <c r="C9" s="18">
        <v>2.89</v>
      </c>
      <c r="D9" s="19">
        <v>2.89</v>
      </c>
      <c r="E9" s="19">
        <v>1.1499999999999999</v>
      </c>
      <c r="F9" s="19">
        <v>1.05</v>
      </c>
      <c r="G9" s="19">
        <v>0.95</v>
      </c>
      <c r="H9" s="19">
        <v>0.85</v>
      </c>
    </row>
    <row r="10" spans="1:8" ht="20.100000000000001" customHeight="1" x14ac:dyDescent="0.2">
      <c r="A10" s="12" t="s">
        <v>32</v>
      </c>
      <c r="B10" s="13">
        <v>130</v>
      </c>
      <c r="C10" s="14">
        <v>2.89</v>
      </c>
      <c r="D10" s="15">
        <v>2.89</v>
      </c>
      <c r="E10" s="15">
        <v>1.1499999999999999</v>
      </c>
      <c r="F10" s="15">
        <v>1.05</v>
      </c>
      <c r="G10" s="15">
        <v>0.95</v>
      </c>
      <c r="H10" s="15">
        <v>0.85</v>
      </c>
    </row>
    <row r="11" spans="1:8" ht="19.7" customHeight="1" x14ac:dyDescent="0.2">
      <c r="A11" s="16" t="s">
        <v>33</v>
      </c>
      <c r="B11" s="17">
        <v>130</v>
      </c>
      <c r="C11" s="18">
        <v>2.89</v>
      </c>
      <c r="D11" s="19">
        <v>2.89</v>
      </c>
      <c r="E11" s="19">
        <v>1.1499999999999999</v>
      </c>
      <c r="F11" s="19">
        <v>1.05</v>
      </c>
      <c r="G11" s="19">
        <v>0.95</v>
      </c>
      <c r="H11" s="19">
        <v>0.85</v>
      </c>
    </row>
    <row r="12" spans="1:8" ht="15.6" customHeight="1" x14ac:dyDescent="0.2">
      <c r="A12" s="12" t="s">
        <v>34</v>
      </c>
      <c r="B12" s="13">
        <v>130</v>
      </c>
      <c r="C12" s="14">
        <v>4.5</v>
      </c>
      <c r="D12" s="15">
        <v>3.8</v>
      </c>
      <c r="E12" s="15">
        <v>2.15</v>
      </c>
      <c r="F12" s="15">
        <v>2.0499999999999998</v>
      </c>
      <c r="G12" s="15">
        <v>1.95</v>
      </c>
      <c r="H12" s="15">
        <v>1.85</v>
      </c>
    </row>
    <row r="13" spans="1:8" ht="15.6" customHeight="1" x14ac:dyDescent="0.2">
      <c r="A13" s="16" t="s">
        <v>35</v>
      </c>
      <c r="B13" s="17">
        <v>130</v>
      </c>
      <c r="C13" s="18">
        <v>4.5</v>
      </c>
      <c r="D13" s="19">
        <v>3.8</v>
      </c>
      <c r="E13" s="19">
        <v>1.75</v>
      </c>
      <c r="F13" s="19">
        <v>1.65</v>
      </c>
      <c r="G13" s="19">
        <v>1.55</v>
      </c>
      <c r="H13" s="19">
        <v>1.45</v>
      </c>
    </row>
    <row r="14" spans="1:8" ht="15.6" customHeight="1" x14ac:dyDescent="0.2">
      <c r="A14" s="12" t="s">
        <v>36</v>
      </c>
      <c r="B14" s="13">
        <v>130</v>
      </c>
      <c r="C14" s="14">
        <v>4.5</v>
      </c>
      <c r="D14" s="15">
        <v>3.8</v>
      </c>
      <c r="E14" s="15">
        <v>1.75</v>
      </c>
      <c r="F14" s="15">
        <v>1.65</v>
      </c>
      <c r="G14" s="15">
        <v>1.55</v>
      </c>
      <c r="H14" s="15">
        <v>1.35</v>
      </c>
    </row>
    <row r="15" spans="1:8" ht="15.6" customHeight="1" x14ac:dyDescent="0.2">
      <c r="A15" s="16" t="s">
        <v>37</v>
      </c>
      <c r="B15" s="17">
        <v>130</v>
      </c>
      <c r="C15" s="18">
        <v>4.5</v>
      </c>
      <c r="D15" s="19">
        <v>3.8</v>
      </c>
      <c r="E15" s="19">
        <v>1.65</v>
      </c>
      <c r="F15" s="19">
        <v>1.55</v>
      </c>
      <c r="G15" s="19">
        <v>1.45</v>
      </c>
      <c r="H15" s="19">
        <v>1.35</v>
      </c>
    </row>
    <row r="16" spans="1:8" ht="15.6" customHeight="1" x14ac:dyDescent="0.2">
      <c r="A16" s="12" t="s">
        <v>38</v>
      </c>
      <c r="B16" s="13">
        <v>130</v>
      </c>
      <c r="C16" s="14">
        <v>4.5</v>
      </c>
      <c r="D16" s="15">
        <v>3.8</v>
      </c>
      <c r="E16" s="15">
        <v>2.8</v>
      </c>
      <c r="F16" s="15">
        <v>2.7</v>
      </c>
      <c r="G16" s="15">
        <v>2.6</v>
      </c>
      <c r="H16" s="15">
        <v>2.4</v>
      </c>
    </row>
    <row r="17" spans="1:8" ht="15.6" customHeight="1" x14ac:dyDescent="0.2">
      <c r="A17" s="16" t="s">
        <v>39</v>
      </c>
      <c r="B17" s="17">
        <v>130</v>
      </c>
      <c r="C17" s="18">
        <v>4.5</v>
      </c>
      <c r="D17" s="19">
        <v>3.8</v>
      </c>
      <c r="E17" s="19">
        <v>1.85</v>
      </c>
      <c r="F17" s="19">
        <v>1.75</v>
      </c>
      <c r="G17" s="19">
        <v>1.65</v>
      </c>
      <c r="H17" s="19">
        <v>1.55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D608-2E11-4772-838C-032D8A812AA1}">
  <dimension ref="A1:I353"/>
  <sheetViews>
    <sheetView topLeftCell="A292" workbookViewId="0">
      <selection sqref="A1:I353"/>
    </sheetView>
  </sheetViews>
  <sheetFormatPr baseColWidth="10" defaultRowHeight="12.75" x14ac:dyDescent="0.2"/>
  <cols>
    <col min="1" max="1" width="13.1640625" bestFit="1" customWidth="1"/>
    <col min="2" max="2" width="17.33203125" bestFit="1" customWidth="1"/>
    <col min="3" max="3" width="7.83203125" bestFit="1" customWidth="1"/>
    <col min="4" max="4" width="5.33203125" bestFit="1" customWidth="1"/>
    <col min="5" max="5" width="6.1640625" bestFit="1" customWidth="1"/>
    <col min="6" max="8" width="7.33203125" bestFit="1" customWidth="1"/>
    <col min="9" max="9" width="8.5" bestFit="1" customWidth="1"/>
  </cols>
  <sheetData>
    <row r="1" spans="1:9" x14ac:dyDescent="0.2">
      <c r="A1" t="s">
        <v>134</v>
      </c>
      <c r="B1" t="s">
        <v>44</v>
      </c>
      <c r="C1" t="s">
        <v>45</v>
      </c>
      <c r="D1" t="s">
        <v>46</v>
      </c>
      <c r="E1" t="s">
        <v>135</v>
      </c>
      <c r="F1" t="s">
        <v>109</v>
      </c>
      <c r="G1" t="s">
        <v>136</v>
      </c>
      <c r="H1" t="s">
        <v>137</v>
      </c>
      <c r="I1" t="s">
        <v>138</v>
      </c>
    </row>
    <row r="2" spans="1:9" x14ac:dyDescent="0.2">
      <c r="A2" s="27" t="s">
        <v>55</v>
      </c>
      <c r="B2" s="27" t="s">
        <v>47</v>
      </c>
      <c r="C2">
        <v>130</v>
      </c>
      <c r="D2">
        <v>2.89</v>
      </c>
      <c r="E2">
        <v>2.89</v>
      </c>
      <c r="F2">
        <v>0.85</v>
      </c>
      <c r="G2">
        <v>0.8</v>
      </c>
      <c r="H2" s="27" t="s">
        <v>70</v>
      </c>
      <c r="I2">
        <v>0.7</v>
      </c>
    </row>
    <row r="3" spans="1:9" x14ac:dyDescent="0.2">
      <c r="A3" s="27" t="s">
        <v>55</v>
      </c>
      <c r="B3" s="27" t="s">
        <v>48</v>
      </c>
      <c r="C3">
        <v>130</v>
      </c>
      <c r="D3">
        <v>2.89</v>
      </c>
      <c r="E3">
        <v>2.89</v>
      </c>
      <c r="F3">
        <v>1.05</v>
      </c>
      <c r="G3">
        <v>1</v>
      </c>
      <c r="H3" s="27" t="s">
        <v>74</v>
      </c>
      <c r="I3">
        <v>0.9</v>
      </c>
    </row>
    <row r="4" spans="1:9" x14ac:dyDescent="0.2">
      <c r="A4" s="27" t="s">
        <v>55</v>
      </c>
      <c r="B4" s="27" t="s">
        <v>139</v>
      </c>
      <c r="C4">
        <v>130</v>
      </c>
      <c r="D4">
        <v>4.5</v>
      </c>
      <c r="E4">
        <v>3.8</v>
      </c>
      <c r="F4">
        <v>1.5</v>
      </c>
      <c r="G4">
        <v>1.4</v>
      </c>
      <c r="H4" s="27" t="s">
        <v>81</v>
      </c>
      <c r="I4">
        <v>1.2</v>
      </c>
    </row>
    <row r="5" spans="1:9" x14ac:dyDescent="0.2">
      <c r="A5" s="27" t="s">
        <v>55</v>
      </c>
      <c r="B5" s="27" t="s">
        <v>140</v>
      </c>
      <c r="C5">
        <v>130</v>
      </c>
      <c r="D5">
        <v>4.5</v>
      </c>
      <c r="E5">
        <v>3.8</v>
      </c>
      <c r="F5">
        <v>1.5</v>
      </c>
      <c r="G5">
        <v>1.4</v>
      </c>
      <c r="H5" s="27" t="s">
        <v>81</v>
      </c>
      <c r="I5">
        <v>1.2</v>
      </c>
    </row>
    <row r="6" spans="1:9" x14ac:dyDescent="0.2">
      <c r="A6" s="27" t="s">
        <v>55</v>
      </c>
      <c r="B6" s="27" t="s">
        <v>49</v>
      </c>
      <c r="C6">
        <v>130</v>
      </c>
      <c r="D6">
        <v>4.5</v>
      </c>
      <c r="E6">
        <v>3.8</v>
      </c>
      <c r="F6">
        <v>2.8</v>
      </c>
      <c r="G6">
        <v>2.7</v>
      </c>
      <c r="H6" s="27" t="s">
        <v>85</v>
      </c>
      <c r="I6">
        <v>2.5</v>
      </c>
    </row>
    <row r="7" spans="1:9" x14ac:dyDescent="0.2">
      <c r="A7" s="27" t="s">
        <v>55</v>
      </c>
      <c r="B7" s="27" t="s">
        <v>50</v>
      </c>
      <c r="C7">
        <v>130</v>
      </c>
      <c r="D7">
        <v>4.5</v>
      </c>
      <c r="E7">
        <v>3.8</v>
      </c>
      <c r="F7">
        <v>2.2999999999999998</v>
      </c>
      <c r="G7">
        <v>2.2000000000000002</v>
      </c>
      <c r="H7" s="27" t="s">
        <v>89</v>
      </c>
      <c r="I7">
        <v>2</v>
      </c>
    </row>
    <row r="8" spans="1:9" x14ac:dyDescent="0.2">
      <c r="A8" s="27" t="s">
        <v>55</v>
      </c>
      <c r="B8" s="27" t="s">
        <v>141</v>
      </c>
      <c r="C8">
        <v>130</v>
      </c>
      <c r="D8">
        <v>2.89</v>
      </c>
      <c r="E8">
        <v>2.89</v>
      </c>
      <c r="F8">
        <v>1.1499999999999999</v>
      </c>
      <c r="G8">
        <v>1.05</v>
      </c>
      <c r="H8" s="27" t="s">
        <v>74</v>
      </c>
      <c r="I8">
        <v>0.85</v>
      </c>
    </row>
    <row r="9" spans="1:9" x14ac:dyDescent="0.2">
      <c r="A9" s="27" t="s">
        <v>55</v>
      </c>
      <c r="B9" s="27" t="s">
        <v>142</v>
      </c>
      <c r="C9">
        <v>130</v>
      </c>
      <c r="D9">
        <v>2.89</v>
      </c>
      <c r="E9">
        <v>2.89</v>
      </c>
      <c r="F9">
        <v>1.1499999999999999</v>
      </c>
      <c r="G9">
        <v>1.05</v>
      </c>
      <c r="H9" s="27" t="s">
        <v>74</v>
      </c>
      <c r="I9">
        <v>0.85</v>
      </c>
    </row>
    <row r="10" spans="1:9" x14ac:dyDescent="0.2">
      <c r="A10" s="27" t="s">
        <v>55</v>
      </c>
      <c r="B10" s="27" t="s">
        <v>143</v>
      </c>
      <c r="C10">
        <v>130</v>
      </c>
      <c r="D10">
        <v>2.89</v>
      </c>
      <c r="E10">
        <v>2.89</v>
      </c>
      <c r="F10">
        <v>1.1499999999999999</v>
      </c>
      <c r="G10">
        <v>1.05</v>
      </c>
      <c r="H10" s="27" t="s">
        <v>74</v>
      </c>
      <c r="I10">
        <v>0.85</v>
      </c>
    </row>
    <row r="11" spans="1:9" x14ac:dyDescent="0.2">
      <c r="A11" s="27" t="s">
        <v>55</v>
      </c>
      <c r="B11" s="27" t="s">
        <v>144</v>
      </c>
      <c r="C11">
        <v>130</v>
      </c>
      <c r="D11">
        <v>2.89</v>
      </c>
      <c r="E11">
        <v>2.89</v>
      </c>
      <c r="F11">
        <v>1.1499999999999999</v>
      </c>
      <c r="G11">
        <v>1.05</v>
      </c>
      <c r="H11" s="27" t="s">
        <v>74</v>
      </c>
      <c r="I11">
        <v>0.85</v>
      </c>
    </row>
    <row r="12" spans="1:9" x14ac:dyDescent="0.2">
      <c r="A12" s="27" t="s">
        <v>55</v>
      </c>
      <c r="B12" s="27" t="s">
        <v>145</v>
      </c>
      <c r="C12">
        <v>130</v>
      </c>
      <c r="D12">
        <v>2.89</v>
      </c>
      <c r="E12">
        <v>2.89</v>
      </c>
      <c r="F12">
        <v>1.1499999999999999</v>
      </c>
      <c r="G12">
        <v>1.05</v>
      </c>
      <c r="H12" s="27" t="s">
        <v>74</v>
      </c>
      <c r="I12">
        <v>0.85</v>
      </c>
    </row>
    <row r="13" spans="1:9" x14ac:dyDescent="0.2">
      <c r="A13" s="27" t="s">
        <v>55</v>
      </c>
      <c r="B13" s="27" t="s">
        <v>146</v>
      </c>
      <c r="C13">
        <v>130</v>
      </c>
      <c r="D13">
        <v>2.89</v>
      </c>
      <c r="E13">
        <v>2.89</v>
      </c>
      <c r="F13">
        <v>1.1499999999999999</v>
      </c>
      <c r="G13">
        <v>1.05</v>
      </c>
      <c r="H13" s="27" t="s">
        <v>74</v>
      </c>
      <c r="I13">
        <v>0.85</v>
      </c>
    </row>
    <row r="14" spans="1:9" x14ac:dyDescent="0.2">
      <c r="A14" s="27" t="s">
        <v>55</v>
      </c>
      <c r="B14" s="27" t="s">
        <v>147</v>
      </c>
      <c r="C14">
        <v>130</v>
      </c>
      <c r="D14">
        <v>2.89</v>
      </c>
      <c r="E14">
        <v>2.89</v>
      </c>
      <c r="F14">
        <v>1.1499999999999999</v>
      </c>
      <c r="G14">
        <v>1.05</v>
      </c>
      <c r="H14" s="27" t="s">
        <v>74</v>
      </c>
      <c r="I14">
        <v>0.85</v>
      </c>
    </row>
    <row r="15" spans="1:9" x14ac:dyDescent="0.2">
      <c r="A15" s="27" t="s">
        <v>55</v>
      </c>
      <c r="B15" s="27" t="s">
        <v>148</v>
      </c>
      <c r="C15">
        <v>130</v>
      </c>
      <c r="D15">
        <v>2.89</v>
      </c>
      <c r="E15">
        <v>2.89</v>
      </c>
      <c r="F15">
        <v>1.1499999999999999</v>
      </c>
      <c r="G15">
        <v>1.05</v>
      </c>
      <c r="H15" s="27" t="s">
        <v>74</v>
      </c>
      <c r="I15">
        <v>0.85</v>
      </c>
    </row>
    <row r="16" spans="1:9" x14ac:dyDescent="0.2">
      <c r="A16" s="27" t="s">
        <v>55</v>
      </c>
      <c r="B16" s="27" t="s">
        <v>149</v>
      </c>
      <c r="C16">
        <v>130</v>
      </c>
      <c r="D16">
        <v>2.89</v>
      </c>
      <c r="E16">
        <v>2.89</v>
      </c>
      <c r="F16">
        <v>1.1499999999999999</v>
      </c>
      <c r="G16">
        <v>1.05</v>
      </c>
      <c r="H16" s="27" t="s">
        <v>74</v>
      </c>
      <c r="I16">
        <v>0.85</v>
      </c>
    </row>
    <row r="17" spans="1:9" x14ac:dyDescent="0.2">
      <c r="A17" s="27" t="s">
        <v>55</v>
      </c>
      <c r="B17" s="27" t="s">
        <v>150</v>
      </c>
      <c r="C17">
        <v>130</v>
      </c>
      <c r="D17">
        <v>2.89</v>
      </c>
      <c r="E17">
        <v>2.89</v>
      </c>
      <c r="F17">
        <v>1.1499999999999999</v>
      </c>
      <c r="G17">
        <v>1.05</v>
      </c>
      <c r="H17" s="27" t="s">
        <v>74</v>
      </c>
      <c r="I17">
        <v>0.85</v>
      </c>
    </row>
    <row r="18" spans="1:9" x14ac:dyDescent="0.2">
      <c r="A18" s="27" t="s">
        <v>55</v>
      </c>
      <c r="B18" s="27" t="s">
        <v>151</v>
      </c>
      <c r="C18">
        <v>130</v>
      </c>
      <c r="D18">
        <v>2.89</v>
      </c>
      <c r="E18">
        <v>2.89</v>
      </c>
      <c r="F18">
        <v>1.1499999999999999</v>
      </c>
      <c r="G18">
        <v>1.05</v>
      </c>
      <c r="H18" s="27" t="s">
        <v>74</v>
      </c>
      <c r="I18">
        <v>0.85</v>
      </c>
    </row>
    <row r="19" spans="1:9" x14ac:dyDescent="0.2">
      <c r="A19" s="27" t="s">
        <v>55</v>
      </c>
      <c r="B19" s="27" t="s">
        <v>152</v>
      </c>
      <c r="C19">
        <v>130</v>
      </c>
      <c r="D19">
        <v>2.89</v>
      </c>
      <c r="E19">
        <v>2.89</v>
      </c>
      <c r="F19">
        <v>1.1499999999999999</v>
      </c>
      <c r="G19">
        <v>1.05</v>
      </c>
      <c r="H19" s="27" t="s">
        <v>74</v>
      </c>
      <c r="I19">
        <v>0.85</v>
      </c>
    </row>
    <row r="20" spans="1:9" x14ac:dyDescent="0.2">
      <c r="A20" s="27" t="s">
        <v>55</v>
      </c>
      <c r="B20" s="27" t="s">
        <v>153</v>
      </c>
      <c r="C20">
        <v>130</v>
      </c>
      <c r="D20">
        <v>2.89</v>
      </c>
      <c r="E20">
        <v>2.89</v>
      </c>
      <c r="F20">
        <v>1.1499999999999999</v>
      </c>
      <c r="G20">
        <v>1.05</v>
      </c>
      <c r="H20" s="27" t="s">
        <v>74</v>
      </c>
      <c r="I20">
        <v>0.85</v>
      </c>
    </row>
    <row r="21" spans="1:9" x14ac:dyDescent="0.2">
      <c r="A21" s="27" t="s">
        <v>55</v>
      </c>
      <c r="B21" s="27" t="s">
        <v>154</v>
      </c>
      <c r="C21">
        <v>130</v>
      </c>
      <c r="D21">
        <v>2.89</v>
      </c>
      <c r="E21">
        <v>2.89</v>
      </c>
      <c r="F21">
        <v>1.1499999999999999</v>
      </c>
      <c r="G21">
        <v>1.05</v>
      </c>
      <c r="H21" s="27" t="s">
        <v>74</v>
      </c>
      <c r="I21">
        <v>0.85</v>
      </c>
    </row>
    <row r="22" spans="1:9" x14ac:dyDescent="0.2">
      <c r="A22" s="27" t="s">
        <v>55</v>
      </c>
      <c r="B22" s="27" t="s">
        <v>155</v>
      </c>
      <c r="C22">
        <v>130</v>
      </c>
      <c r="D22">
        <v>2.89</v>
      </c>
      <c r="E22">
        <v>2.89</v>
      </c>
      <c r="F22">
        <v>1.1499999999999999</v>
      </c>
      <c r="G22">
        <v>1.05</v>
      </c>
      <c r="H22" s="27" t="s">
        <v>74</v>
      </c>
      <c r="I22">
        <v>0.85</v>
      </c>
    </row>
    <row r="23" spans="1:9" x14ac:dyDescent="0.2">
      <c r="A23" s="27" t="s">
        <v>55</v>
      </c>
      <c r="B23" s="27" t="s">
        <v>156</v>
      </c>
      <c r="C23">
        <v>130</v>
      </c>
      <c r="D23">
        <v>2.89</v>
      </c>
      <c r="E23">
        <v>2.89</v>
      </c>
      <c r="F23">
        <v>1.1499999999999999</v>
      </c>
      <c r="G23">
        <v>1.05</v>
      </c>
      <c r="H23" s="27" t="s">
        <v>74</v>
      </c>
      <c r="I23">
        <v>0.85</v>
      </c>
    </row>
    <row r="24" spans="1:9" x14ac:dyDescent="0.2">
      <c r="A24" s="27" t="s">
        <v>55</v>
      </c>
      <c r="B24" s="27" t="s">
        <v>157</v>
      </c>
      <c r="C24">
        <v>130</v>
      </c>
      <c r="D24">
        <v>2.89</v>
      </c>
      <c r="E24">
        <v>2.89</v>
      </c>
      <c r="F24">
        <v>1.1499999999999999</v>
      </c>
      <c r="G24">
        <v>1.05</v>
      </c>
      <c r="H24" s="27" t="s">
        <v>74</v>
      </c>
      <c r="I24">
        <v>0.85</v>
      </c>
    </row>
    <row r="25" spans="1:9" x14ac:dyDescent="0.2">
      <c r="A25" s="27" t="s">
        <v>55</v>
      </c>
      <c r="B25" s="27" t="s">
        <v>158</v>
      </c>
      <c r="C25">
        <v>130</v>
      </c>
      <c r="D25">
        <v>2.89</v>
      </c>
      <c r="E25">
        <v>2.89</v>
      </c>
      <c r="F25">
        <v>1.1499999999999999</v>
      </c>
      <c r="G25">
        <v>1.05</v>
      </c>
      <c r="H25" s="27" t="s">
        <v>74</v>
      </c>
      <c r="I25">
        <v>0.85</v>
      </c>
    </row>
    <row r="26" spans="1:9" x14ac:dyDescent="0.2">
      <c r="A26" s="27" t="s">
        <v>55</v>
      </c>
      <c r="B26" s="27" t="s">
        <v>159</v>
      </c>
      <c r="C26">
        <v>130</v>
      </c>
      <c r="D26">
        <v>2.89</v>
      </c>
      <c r="E26">
        <v>2.89</v>
      </c>
      <c r="F26">
        <v>1.1499999999999999</v>
      </c>
      <c r="G26">
        <v>1.05</v>
      </c>
      <c r="H26" s="27" t="s">
        <v>74</v>
      </c>
      <c r="I26">
        <v>0.85</v>
      </c>
    </row>
    <row r="27" spans="1:9" x14ac:dyDescent="0.2">
      <c r="A27" s="27" t="s">
        <v>55</v>
      </c>
      <c r="B27" s="27" t="s">
        <v>160</v>
      </c>
      <c r="C27">
        <v>130</v>
      </c>
      <c r="D27">
        <v>2.89</v>
      </c>
      <c r="E27">
        <v>2.89</v>
      </c>
      <c r="F27">
        <v>1.1499999999999999</v>
      </c>
      <c r="G27">
        <v>1.05</v>
      </c>
      <c r="H27" s="27" t="s">
        <v>74</v>
      </c>
      <c r="I27">
        <v>0.85</v>
      </c>
    </row>
    <row r="28" spans="1:9" x14ac:dyDescent="0.2">
      <c r="A28" s="27" t="s">
        <v>55</v>
      </c>
      <c r="B28" s="27" t="s">
        <v>161</v>
      </c>
      <c r="C28">
        <v>130</v>
      </c>
      <c r="D28">
        <v>2.89</v>
      </c>
      <c r="E28">
        <v>2.89</v>
      </c>
      <c r="F28">
        <v>1.1499999999999999</v>
      </c>
      <c r="G28">
        <v>1.05</v>
      </c>
      <c r="H28" s="27" t="s">
        <v>74</v>
      </c>
      <c r="I28">
        <v>0.85</v>
      </c>
    </row>
    <row r="29" spans="1:9" x14ac:dyDescent="0.2">
      <c r="A29" s="27" t="s">
        <v>55</v>
      </c>
      <c r="B29" s="27" t="s">
        <v>162</v>
      </c>
      <c r="C29">
        <v>130</v>
      </c>
      <c r="D29">
        <v>2.89</v>
      </c>
      <c r="E29">
        <v>2.89</v>
      </c>
      <c r="F29">
        <v>1.1499999999999999</v>
      </c>
      <c r="G29">
        <v>1.05</v>
      </c>
      <c r="H29" s="27" t="s">
        <v>74</v>
      </c>
      <c r="I29">
        <v>0.85</v>
      </c>
    </row>
    <row r="30" spans="1:9" x14ac:dyDescent="0.2">
      <c r="A30" s="27" t="s">
        <v>55</v>
      </c>
      <c r="B30" s="27" t="s">
        <v>163</v>
      </c>
      <c r="C30">
        <v>130</v>
      </c>
      <c r="D30">
        <v>2.89</v>
      </c>
      <c r="E30">
        <v>2.89</v>
      </c>
      <c r="F30">
        <v>1.1499999999999999</v>
      </c>
      <c r="G30">
        <v>1.05</v>
      </c>
      <c r="H30" s="27" t="s">
        <v>74</v>
      </c>
      <c r="I30">
        <v>0.85</v>
      </c>
    </row>
    <row r="31" spans="1:9" x14ac:dyDescent="0.2">
      <c r="A31" s="27" t="s">
        <v>55</v>
      </c>
      <c r="B31" s="27" t="s">
        <v>164</v>
      </c>
      <c r="C31">
        <v>130</v>
      </c>
      <c r="D31">
        <v>4.5</v>
      </c>
      <c r="E31">
        <v>3.8</v>
      </c>
      <c r="F31">
        <v>2.15</v>
      </c>
      <c r="G31">
        <v>2.0499999999999998</v>
      </c>
      <c r="H31" s="27" t="s">
        <v>100</v>
      </c>
      <c r="I31">
        <v>1.85</v>
      </c>
    </row>
    <row r="32" spans="1:9" x14ac:dyDescent="0.2">
      <c r="A32" s="27" t="s">
        <v>55</v>
      </c>
      <c r="B32" s="27" t="s">
        <v>165</v>
      </c>
      <c r="C32">
        <v>130</v>
      </c>
      <c r="D32">
        <v>4.5</v>
      </c>
      <c r="E32">
        <v>3.8</v>
      </c>
      <c r="F32">
        <v>2.15</v>
      </c>
      <c r="G32">
        <v>2.0499999999999998</v>
      </c>
      <c r="H32" s="27" t="s">
        <v>100</v>
      </c>
      <c r="I32">
        <v>1.85</v>
      </c>
    </row>
    <row r="33" spans="1:9" x14ac:dyDescent="0.2">
      <c r="A33" s="27" t="s">
        <v>55</v>
      </c>
      <c r="B33" s="27" t="s">
        <v>51</v>
      </c>
      <c r="C33">
        <v>130</v>
      </c>
      <c r="D33">
        <v>4.5</v>
      </c>
      <c r="E33">
        <v>3.8</v>
      </c>
      <c r="F33">
        <v>1.75</v>
      </c>
      <c r="G33">
        <v>1.65</v>
      </c>
      <c r="H33" s="27" t="s">
        <v>104</v>
      </c>
      <c r="I33">
        <v>1.45</v>
      </c>
    </row>
    <row r="34" spans="1:9" x14ac:dyDescent="0.2">
      <c r="A34" s="27" t="s">
        <v>55</v>
      </c>
      <c r="B34" s="27" t="s">
        <v>166</v>
      </c>
      <c r="C34">
        <v>130</v>
      </c>
      <c r="D34">
        <v>4.5</v>
      </c>
      <c r="E34">
        <v>3.8</v>
      </c>
      <c r="F34">
        <v>1.75</v>
      </c>
      <c r="G34">
        <v>1.65</v>
      </c>
      <c r="H34" s="27" t="s">
        <v>104</v>
      </c>
      <c r="I34">
        <v>1.35</v>
      </c>
    </row>
    <row r="35" spans="1:9" x14ac:dyDescent="0.2">
      <c r="A35" s="27" t="s">
        <v>55</v>
      </c>
      <c r="B35" s="27" t="s">
        <v>167</v>
      </c>
      <c r="C35">
        <v>130</v>
      </c>
      <c r="D35">
        <v>4.5</v>
      </c>
      <c r="E35">
        <v>3.8</v>
      </c>
      <c r="F35">
        <v>1.75</v>
      </c>
      <c r="G35">
        <v>1.65</v>
      </c>
      <c r="H35" s="27" t="s">
        <v>104</v>
      </c>
      <c r="I35">
        <v>1.35</v>
      </c>
    </row>
    <row r="36" spans="1:9" x14ac:dyDescent="0.2">
      <c r="A36" s="27" t="s">
        <v>55</v>
      </c>
      <c r="B36" s="27" t="s">
        <v>54</v>
      </c>
      <c r="C36">
        <v>130</v>
      </c>
      <c r="D36">
        <v>4.5</v>
      </c>
      <c r="E36">
        <v>3.8</v>
      </c>
      <c r="F36">
        <v>1.75</v>
      </c>
      <c r="G36">
        <v>1.65</v>
      </c>
      <c r="H36" s="27" t="s">
        <v>104</v>
      </c>
      <c r="I36">
        <v>1.35</v>
      </c>
    </row>
    <row r="37" spans="1:9" x14ac:dyDescent="0.2">
      <c r="A37" s="27" t="s">
        <v>55</v>
      </c>
      <c r="B37" s="27" t="s">
        <v>52</v>
      </c>
      <c r="C37">
        <v>130</v>
      </c>
      <c r="D37">
        <v>4.5</v>
      </c>
      <c r="E37">
        <v>3.8</v>
      </c>
      <c r="F37">
        <v>1.65</v>
      </c>
      <c r="G37">
        <v>1.55</v>
      </c>
      <c r="H37" s="27" t="s">
        <v>105</v>
      </c>
      <c r="I37">
        <v>1.35</v>
      </c>
    </row>
    <row r="38" spans="1:9" x14ac:dyDescent="0.2">
      <c r="A38" s="27" t="s">
        <v>55</v>
      </c>
      <c r="B38" s="27" t="s">
        <v>53</v>
      </c>
      <c r="C38">
        <v>130</v>
      </c>
      <c r="D38">
        <v>4.5</v>
      </c>
      <c r="E38">
        <v>3.8</v>
      </c>
      <c r="F38">
        <v>2.8</v>
      </c>
      <c r="G38">
        <v>2.7</v>
      </c>
      <c r="H38" s="27" t="s">
        <v>85</v>
      </c>
      <c r="I38">
        <v>2.4</v>
      </c>
    </row>
    <row r="39" spans="1:9" x14ac:dyDescent="0.2">
      <c r="A39" s="27" t="s">
        <v>55</v>
      </c>
      <c r="B39" s="27" t="s">
        <v>54</v>
      </c>
      <c r="C39">
        <v>130</v>
      </c>
      <c r="D39">
        <v>4.5</v>
      </c>
      <c r="E39">
        <v>3.8</v>
      </c>
      <c r="F39">
        <v>1.85</v>
      </c>
      <c r="G39">
        <v>1.75</v>
      </c>
      <c r="H39" s="27" t="s">
        <v>103</v>
      </c>
      <c r="I39">
        <v>1.55</v>
      </c>
    </row>
    <row r="40" spans="1:9" x14ac:dyDescent="0.2">
      <c r="A40" s="27" t="s">
        <v>56</v>
      </c>
      <c r="B40" s="27" t="s">
        <v>47</v>
      </c>
      <c r="C40">
        <v>100</v>
      </c>
      <c r="D40">
        <v>0.9</v>
      </c>
      <c r="E40">
        <v>0.9</v>
      </c>
      <c r="F40">
        <v>0.9</v>
      </c>
      <c r="G40">
        <v>0.85</v>
      </c>
      <c r="H40" s="27" t="s">
        <v>69</v>
      </c>
      <c r="I40">
        <v>0.7</v>
      </c>
    </row>
    <row r="41" spans="1:9" x14ac:dyDescent="0.2">
      <c r="A41" s="27" t="s">
        <v>56</v>
      </c>
      <c r="B41" s="27" t="s">
        <v>48</v>
      </c>
      <c r="C41">
        <v>100</v>
      </c>
      <c r="D41">
        <v>0.95</v>
      </c>
      <c r="E41">
        <v>0.95</v>
      </c>
      <c r="F41">
        <v>0.95</v>
      </c>
      <c r="G41">
        <v>0.9</v>
      </c>
      <c r="H41" s="27" t="s">
        <v>68</v>
      </c>
      <c r="I41">
        <v>0.75</v>
      </c>
    </row>
    <row r="42" spans="1:9" x14ac:dyDescent="0.2">
      <c r="A42" s="27" t="s">
        <v>56</v>
      </c>
      <c r="B42" s="27" t="s">
        <v>139</v>
      </c>
      <c r="C42">
        <v>100</v>
      </c>
      <c r="D42">
        <v>4.5</v>
      </c>
      <c r="E42">
        <v>3.8</v>
      </c>
      <c r="F42">
        <v>1.45</v>
      </c>
      <c r="G42">
        <v>1.35</v>
      </c>
      <c r="H42" s="27" t="s">
        <v>110</v>
      </c>
      <c r="I42">
        <v>1.1499999999999999</v>
      </c>
    </row>
    <row r="43" spans="1:9" x14ac:dyDescent="0.2">
      <c r="A43" s="27" t="s">
        <v>56</v>
      </c>
      <c r="B43" s="27" t="s">
        <v>140</v>
      </c>
      <c r="C43">
        <v>100</v>
      </c>
      <c r="D43">
        <v>4.5</v>
      </c>
      <c r="E43">
        <v>3.8</v>
      </c>
      <c r="F43">
        <v>1.45</v>
      </c>
      <c r="G43">
        <v>1.35</v>
      </c>
      <c r="H43" s="27" t="s">
        <v>110</v>
      </c>
      <c r="I43">
        <v>1.1499999999999999</v>
      </c>
    </row>
    <row r="44" spans="1:9" x14ac:dyDescent="0.2">
      <c r="A44" s="27" t="s">
        <v>56</v>
      </c>
      <c r="B44" s="27" t="s">
        <v>141</v>
      </c>
      <c r="C44">
        <v>100</v>
      </c>
      <c r="D44">
        <v>1.2</v>
      </c>
      <c r="E44">
        <v>1.2</v>
      </c>
      <c r="F44">
        <v>1.1000000000000001</v>
      </c>
      <c r="G44">
        <v>1.05</v>
      </c>
      <c r="H44" s="27" t="s">
        <v>74</v>
      </c>
      <c r="I44">
        <v>0.85</v>
      </c>
    </row>
    <row r="45" spans="1:9" x14ac:dyDescent="0.2">
      <c r="A45" s="27" t="s">
        <v>56</v>
      </c>
      <c r="B45" s="27" t="s">
        <v>142</v>
      </c>
      <c r="C45">
        <v>100</v>
      </c>
      <c r="D45">
        <v>1.2</v>
      </c>
      <c r="E45">
        <v>1.2</v>
      </c>
      <c r="F45">
        <v>1.1000000000000001</v>
      </c>
      <c r="G45">
        <v>1.05</v>
      </c>
      <c r="H45" s="27" t="s">
        <v>74</v>
      </c>
      <c r="I45">
        <v>0.85</v>
      </c>
    </row>
    <row r="46" spans="1:9" x14ac:dyDescent="0.2">
      <c r="A46" s="27" t="s">
        <v>56</v>
      </c>
      <c r="B46" s="27" t="s">
        <v>143</v>
      </c>
      <c r="C46">
        <v>100</v>
      </c>
      <c r="D46">
        <v>1.2</v>
      </c>
      <c r="E46">
        <v>1.2</v>
      </c>
      <c r="F46">
        <v>1.1000000000000001</v>
      </c>
      <c r="G46">
        <v>1.05</v>
      </c>
      <c r="H46" s="27" t="s">
        <v>74</v>
      </c>
      <c r="I46">
        <v>0.85</v>
      </c>
    </row>
    <row r="47" spans="1:9" x14ac:dyDescent="0.2">
      <c r="A47" s="27" t="s">
        <v>56</v>
      </c>
      <c r="B47" s="27" t="s">
        <v>144</v>
      </c>
      <c r="C47">
        <v>100</v>
      </c>
      <c r="D47">
        <v>1.2</v>
      </c>
      <c r="E47">
        <v>1.2</v>
      </c>
      <c r="F47">
        <v>1.1000000000000001</v>
      </c>
      <c r="G47">
        <v>1.05</v>
      </c>
      <c r="H47" s="27" t="s">
        <v>74</v>
      </c>
      <c r="I47">
        <v>0.85</v>
      </c>
    </row>
    <row r="48" spans="1:9" x14ac:dyDescent="0.2">
      <c r="A48" s="27" t="s">
        <v>56</v>
      </c>
      <c r="B48" s="27" t="s">
        <v>145</v>
      </c>
      <c r="C48">
        <v>100</v>
      </c>
      <c r="D48">
        <v>1.2</v>
      </c>
      <c r="E48">
        <v>1.2</v>
      </c>
      <c r="F48">
        <v>1.1000000000000001</v>
      </c>
      <c r="G48">
        <v>1.05</v>
      </c>
      <c r="H48" s="27" t="s">
        <v>74</v>
      </c>
      <c r="I48">
        <v>0.85</v>
      </c>
    </row>
    <row r="49" spans="1:9" x14ac:dyDescent="0.2">
      <c r="A49" s="27" t="s">
        <v>56</v>
      </c>
      <c r="B49" s="27" t="s">
        <v>146</v>
      </c>
      <c r="C49">
        <v>100</v>
      </c>
      <c r="D49">
        <v>1.2</v>
      </c>
      <c r="E49">
        <v>1.2</v>
      </c>
      <c r="F49">
        <v>1.1000000000000001</v>
      </c>
      <c r="G49">
        <v>1.05</v>
      </c>
      <c r="H49" s="27" t="s">
        <v>74</v>
      </c>
      <c r="I49">
        <v>0.85</v>
      </c>
    </row>
    <row r="50" spans="1:9" x14ac:dyDescent="0.2">
      <c r="A50" s="27" t="s">
        <v>56</v>
      </c>
      <c r="B50" s="27" t="s">
        <v>147</v>
      </c>
      <c r="C50">
        <v>100</v>
      </c>
      <c r="D50">
        <v>1.2</v>
      </c>
      <c r="E50">
        <v>1.2</v>
      </c>
      <c r="F50">
        <v>1.1000000000000001</v>
      </c>
      <c r="G50">
        <v>1.05</v>
      </c>
      <c r="H50" s="27" t="s">
        <v>74</v>
      </c>
      <c r="I50">
        <v>0.85</v>
      </c>
    </row>
    <row r="51" spans="1:9" x14ac:dyDescent="0.2">
      <c r="A51" s="27" t="s">
        <v>56</v>
      </c>
      <c r="B51" s="27" t="s">
        <v>148</v>
      </c>
      <c r="C51">
        <v>100</v>
      </c>
      <c r="D51">
        <v>1.2</v>
      </c>
      <c r="E51">
        <v>1.2</v>
      </c>
      <c r="F51">
        <v>1.1000000000000001</v>
      </c>
      <c r="G51">
        <v>1.05</v>
      </c>
      <c r="H51" s="27" t="s">
        <v>74</v>
      </c>
      <c r="I51">
        <v>0.85</v>
      </c>
    </row>
    <row r="52" spans="1:9" x14ac:dyDescent="0.2">
      <c r="A52" s="27" t="s">
        <v>56</v>
      </c>
      <c r="B52" s="27" t="s">
        <v>149</v>
      </c>
      <c r="C52">
        <v>100</v>
      </c>
      <c r="D52">
        <v>1.2</v>
      </c>
      <c r="E52">
        <v>1.2</v>
      </c>
      <c r="F52">
        <v>1.1000000000000001</v>
      </c>
      <c r="G52">
        <v>1.05</v>
      </c>
      <c r="H52" s="27" t="s">
        <v>74</v>
      </c>
      <c r="I52">
        <v>0.85</v>
      </c>
    </row>
    <row r="53" spans="1:9" x14ac:dyDescent="0.2">
      <c r="A53" s="27" t="s">
        <v>56</v>
      </c>
      <c r="B53" s="27" t="s">
        <v>150</v>
      </c>
      <c r="C53">
        <v>100</v>
      </c>
      <c r="D53">
        <v>1.2</v>
      </c>
      <c r="E53">
        <v>1.2</v>
      </c>
      <c r="F53">
        <v>1.1000000000000001</v>
      </c>
      <c r="G53">
        <v>1.05</v>
      </c>
      <c r="H53" s="27" t="s">
        <v>74</v>
      </c>
      <c r="I53">
        <v>0.85</v>
      </c>
    </row>
    <row r="54" spans="1:9" x14ac:dyDescent="0.2">
      <c r="A54" s="27" t="s">
        <v>56</v>
      </c>
      <c r="B54" s="27" t="s">
        <v>151</v>
      </c>
      <c r="C54">
        <v>100</v>
      </c>
      <c r="D54">
        <v>1.2</v>
      </c>
      <c r="E54">
        <v>1.2</v>
      </c>
      <c r="F54">
        <v>1.1000000000000001</v>
      </c>
      <c r="G54">
        <v>1.05</v>
      </c>
      <c r="H54" s="27" t="s">
        <v>74</v>
      </c>
      <c r="I54">
        <v>0.85</v>
      </c>
    </row>
    <row r="55" spans="1:9" x14ac:dyDescent="0.2">
      <c r="A55" s="27" t="s">
        <v>56</v>
      </c>
      <c r="B55" s="27" t="s">
        <v>152</v>
      </c>
      <c r="C55">
        <v>100</v>
      </c>
      <c r="D55">
        <v>1.2</v>
      </c>
      <c r="E55">
        <v>1.2</v>
      </c>
      <c r="F55">
        <v>1.05</v>
      </c>
      <c r="G55">
        <v>0.95</v>
      </c>
      <c r="H55" s="27" t="s">
        <v>68</v>
      </c>
      <c r="I55">
        <v>0.7</v>
      </c>
    </row>
    <row r="56" spans="1:9" x14ac:dyDescent="0.2">
      <c r="A56" s="27" t="s">
        <v>56</v>
      </c>
      <c r="B56" s="27" t="s">
        <v>153</v>
      </c>
      <c r="C56">
        <v>100</v>
      </c>
      <c r="D56">
        <v>1.2</v>
      </c>
      <c r="E56">
        <v>1.2</v>
      </c>
      <c r="F56">
        <v>1.05</v>
      </c>
      <c r="G56">
        <v>0.95</v>
      </c>
      <c r="H56" s="27" t="s">
        <v>68</v>
      </c>
      <c r="I56">
        <v>0.7</v>
      </c>
    </row>
    <row r="57" spans="1:9" x14ac:dyDescent="0.2">
      <c r="A57" s="27" t="s">
        <v>56</v>
      </c>
      <c r="B57" s="27" t="s">
        <v>154</v>
      </c>
      <c r="C57">
        <v>100</v>
      </c>
      <c r="D57">
        <v>1.2</v>
      </c>
      <c r="E57">
        <v>1.2</v>
      </c>
      <c r="F57">
        <v>1.05</v>
      </c>
      <c r="G57">
        <v>0.95</v>
      </c>
      <c r="H57" s="27" t="s">
        <v>68</v>
      </c>
      <c r="I57">
        <v>0.7</v>
      </c>
    </row>
    <row r="58" spans="1:9" x14ac:dyDescent="0.2">
      <c r="A58" s="27" t="s">
        <v>56</v>
      </c>
      <c r="B58" s="27" t="s">
        <v>155</v>
      </c>
      <c r="C58">
        <v>100</v>
      </c>
      <c r="D58">
        <v>1.2</v>
      </c>
      <c r="E58">
        <v>1.2</v>
      </c>
      <c r="F58">
        <v>1.05</v>
      </c>
      <c r="G58">
        <v>0.95</v>
      </c>
      <c r="H58" s="27" t="s">
        <v>68</v>
      </c>
      <c r="I58">
        <v>0.7</v>
      </c>
    </row>
    <row r="59" spans="1:9" x14ac:dyDescent="0.2">
      <c r="A59" s="27" t="s">
        <v>56</v>
      </c>
      <c r="B59" s="27" t="s">
        <v>156</v>
      </c>
      <c r="C59">
        <v>100</v>
      </c>
      <c r="D59">
        <v>1.2</v>
      </c>
      <c r="E59">
        <v>1.2</v>
      </c>
      <c r="F59">
        <v>1.05</v>
      </c>
      <c r="G59">
        <v>0.95</v>
      </c>
      <c r="H59" s="27" t="s">
        <v>68</v>
      </c>
      <c r="I59">
        <v>0.7</v>
      </c>
    </row>
    <row r="60" spans="1:9" x14ac:dyDescent="0.2">
      <c r="A60" s="27" t="s">
        <v>56</v>
      </c>
      <c r="B60" s="27" t="s">
        <v>157</v>
      </c>
      <c r="C60">
        <v>100</v>
      </c>
      <c r="D60">
        <v>1.2</v>
      </c>
      <c r="E60">
        <v>1.2</v>
      </c>
      <c r="F60">
        <v>1.05</v>
      </c>
      <c r="G60">
        <v>0.95</v>
      </c>
      <c r="H60" s="27" t="s">
        <v>68</v>
      </c>
      <c r="I60">
        <v>0.7</v>
      </c>
    </row>
    <row r="61" spans="1:9" x14ac:dyDescent="0.2">
      <c r="A61" s="27" t="s">
        <v>56</v>
      </c>
      <c r="B61" s="27" t="s">
        <v>158</v>
      </c>
      <c r="C61">
        <v>100</v>
      </c>
      <c r="D61">
        <v>1.2</v>
      </c>
      <c r="E61">
        <v>1.2</v>
      </c>
      <c r="F61">
        <v>1.05</v>
      </c>
      <c r="G61">
        <v>0.95</v>
      </c>
      <c r="H61" s="27" t="s">
        <v>68</v>
      </c>
      <c r="I61">
        <v>0.7</v>
      </c>
    </row>
    <row r="62" spans="1:9" x14ac:dyDescent="0.2">
      <c r="A62" s="27" t="s">
        <v>56</v>
      </c>
      <c r="B62" s="27" t="s">
        <v>159</v>
      </c>
      <c r="C62">
        <v>100</v>
      </c>
      <c r="D62">
        <v>1.2</v>
      </c>
      <c r="E62">
        <v>1.2</v>
      </c>
      <c r="F62">
        <v>1.05</v>
      </c>
      <c r="G62">
        <v>0.95</v>
      </c>
      <c r="H62" s="27" t="s">
        <v>68</v>
      </c>
      <c r="I62">
        <v>0.7</v>
      </c>
    </row>
    <row r="63" spans="1:9" x14ac:dyDescent="0.2">
      <c r="A63" s="27" t="s">
        <v>56</v>
      </c>
      <c r="B63" s="27" t="s">
        <v>160</v>
      </c>
      <c r="C63">
        <v>100</v>
      </c>
      <c r="D63">
        <v>1.2</v>
      </c>
      <c r="E63">
        <v>1.2</v>
      </c>
      <c r="F63">
        <v>1.05</v>
      </c>
      <c r="G63">
        <v>0.95</v>
      </c>
      <c r="H63" s="27" t="s">
        <v>68</v>
      </c>
      <c r="I63">
        <v>0.7</v>
      </c>
    </row>
    <row r="64" spans="1:9" x14ac:dyDescent="0.2">
      <c r="A64" s="27" t="s">
        <v>56</v>
      </c>
      <c r="B64" s="27" t="s">
        <v>161</v>
      </c>
      <c r="C64">
        <v>100</v>
      </c>
      <c r="D64">
        <v>1.2</v>
      </c>
      <c r="E64">
        <v>1.2</v>
      </c>
      <c r="F64">
        <v>1.05</v>
      </c>
      <c r="G64">
        <v>0.95</v>
      </c>
      <c r="H64" s="27" t="s">
        <v>68</v>
      </c>
      <c r="I64">
        <v>0.7</v>
      </c>
    </row>
    <row r="65" spans="1:9" x14ac:dyDescent="0.2">
      <c r="A65" s="27" t="s">
        <v>56</v>
      </c>
      <c r="B65" s="27" t="s">
        <v>162</v>
      </c>
      <c r="C65">
        <v>100</v>
      </c>
      <c r="D65">
        <v>1.2</v>
      </c>
      <c r="E65">
        <v>1.2</v>
      </c>
      <c r="F65">
        <v>1.05</v>
      </c>
      <c r="G65">
        <v>0.95</v>
      </c>
      <c r="H65" s="27" t="s">
        <v>68</v>
      </c>
      <c r="I65">
        <v>0.7</v>
      </c>
    </row>
    <row r="66" spans="1:9" x14ac:dyDescent="0.2">
      <c r="A66" s="27" t="s">
        <v>56</v>
      </c>
      <c r="B66" s="27" t="s">
        <v>163</v>
      </c>
      <c r="C66">
        <v>100</v>
      </c>
      <c r="D66">
        <v>1.2</v>
      </c>
      <c r="E66">
        <v>1.2</v>
      </c>
      <c r="F66">
        <v>1.05</v>
      </c>
      <c r="G66">
        <v>0.95</v>
      </c>
      <c r="H66" s="27" t="s">
        <v>68</v>
      </c>
      <c r="I66">
        <v>0.7</v>
      </c>
    </row>
    <row r="67" spans="1:9" x14ac:dyDescent="0.2">
      <c r="A67" s="27" t="s">
        <v>56</v>
      </c>
      <c r="B67" s="27" t="s">
        <v>168</v>
      </c>
      <c r="C67">
        <v>100</v>
      </c>
      <c r="D67">
        <v>1.2</v>
      </c>
      <c r="E67">
        <v>1.2</v>
      </c>
      <c r="F67">
        <v>1.05</v>
      </c>
      <c r="G67">
        <v>0.95</v>
      </c>
      <c r="H67" s="27" t="s">
        <v>68</v>
      </c>
      <c r="I67">
        <v>0.7</v>
      </c>
    </row>
    <row r="68" spans="1:9" x14ac:dyDescent="0.2">
      <c r="A68" s="27" t="s">
        <v>56</v>
      </c>
      <c r="B68" s="27" t="s">
        <v>164</v>
      </c>
      <c r="C68">
        <v>100</v>
      </c>
      <c r="D68">
        <v>4.5</v>
      </c>
      <c r="E68">
        <v>3.8</v>
      </c>
      <c r="F68">
        <v>1.95</v>
      </c>
      <c r="G68">
        <v>1.85</v>
      </c>
      <c r="H68" s="27" t="s">
        <v>102</v>
      </c>
      <c r="I68">
        <v>1.65</v>
      </c>
    </row>
    <row r="69" spans="1:9" x14ac:dyDescent="0.2">
      <c r="A69" s="27" t="s">
        <v>56</v>
      </c>
      <c r="B69" s="27" t="s">
        <v>165</v>
      </c>
      <c r="C69">
        <v>100</v>
      </c>
      <c r="D69">
        <v>4.5</v>
      </c>
      <c r="E69">
        <v>3.8</v>
      </c>
      <c r="F69">
        <v>1.95</v>
      </c>
      <c r="G69">
        <v>1.85</v>
      </c>
      <c r="H69" s="27" t="s">
        <v>102</v>
      </c>
      <c r="I69">
        <v>1.65</v>
      </c>
    </row>
    <row r="70" spans="1:9" x14ac:dyDescent="0.2">
      <c r="A70" s="27" t="s">
        <v>56</v>
      </c>
      <c r="B70" s="27" t="s">
        <v>54</v>
      </c>
      <c r="C70">
        <v>100</v>
      </c>
      <c r="D70">
        <v>4.5</v>
      </c>
      <c r="E70">
        <v>3.8</v>
      </c>
      <c r="F70">
        <v>1.95</v>
      </c>
      <c r="G70">
        <v>1.85</v>
      </c>
      <c r="H70" s="27" t="s">
        <v>102</v>
      </c>
      <c r="I70">
        <v>1.65</v>
      </c>
    </row>
    <row r="71" spans="1:9" x14ac:dyDescent="0.2">
      <c r="A71" s="27" t="s">
        <v>56</v>
      </c>
      <c r="B71" s="27" t="s">
        <v>52</v>
      </c>
      <c r="C71">
        <v>100</v>
      </c>
      <c r="D71">
        <v>4.5</v>
      </c>
      <c r="E71">
        <v>3.8</v>
      </c>
      <c r="F71">
        <v>1.4</v>
      </c>
      <c r="G71">
        <v>1.3</v>
      </c>
      <c r="H71" s="27" t="s">
        <v>82</v>
      </c>
      <c r="I71">
        <v>1.1000000000000001</v>
      </c>
    </row>
    <row r="72" spans="1:9" x14ac:dyDescent="0.2">
      <c r="A72" s="27" t="s">
        <v>56</v>
      </c>
      <c r="B72" s="27" t="s">
        <v>166</v>
      </c>
      <c r="C72">
        <v>100</v>
      </c>
      <c r="D72">
        <v>4.5</v>
      </c>
      <c r="E72">
        <v>3.8</v>
      </c>
      <c r="F72">
        <v>1.85</v>
      </c>
      <c r="G72">
        <v>1.75</v>
      </c>
      <c r="H72" s="27" t="s">
        <v>103</v>
      </c>
      <c r="I72">
        <v>1.55</v>
      </c>
    </row>
    <row r="73" spans="1:9" x14ac:dyDescent="0.2">
      <c r="A73" s="27" t="s">
        <v>56</v>
      </c>
      <c r="B73" s="27" t="s">
        <v>167</v>
      </c>
      <c r="C73">
        <v>100</v>
      </c>
      <c r="D73">
        <v>4.5</v>
      </c>
      <c r="E73">
        <v>3.8</v>
      </c>
      <c r="F73">
        <v>1.85</v>
      </c>
      <c r="G73">
        <v>1.75</v>
      </c>
      <c r="H73" s="27" t="s">
        <v>103</v>
      </c>
      <c r="I73">
        <v>1.55</v>
      </c>
    </row>
    <row r="74" spans="1:9" x14ac:dyDescent="0.2">
      <c r="A74" s="27" t="s">
        <v>56</v>
      </c>
      <c r="B74" s="27" t="s">
        <v>51</v>
      </c>
      <c r="C74">
        <v>100</v>
      </c>
      <c r="D74">
        <v>4.5</v>
      </c>
      <c r="E74">
        <v>3.8</v>
      </c>
      <c r="F74">
        <v>1.45</v>
      </c>
      <c r="G74">
        <v>1.35</v>
      </c>
      <c r="H74" s="27" t="s">
        <v>110</v>
      </c>
      <c r="I74">
        <v>1.1499999999999999</v>
      </c>
    </row>
    <row r="75" spans="1:9" x14ac:dyDescent="0.2">
      <c r="A75" s="27" t="s">
        <v>57</v>
      </c>
      <c r="B75" s="27" t="s">
        <v>47</v>
      </c>
      <c r="C75">
        <v>100</v>
      </c>
      <c r="D75">
        <v>0.9</v>
      </c>
      <c r="E75">
        <v>0.9</v>
      </c>
      <c r="F75">
        <v>0.9</v>
      </c>
      <c r="G75">
        <v>0.85</v>
      </c>
      <c r="H75" s="27" t="s">
        <v>69</v>
      </c>
      <c r="I75">
        <v>0.7</v>
      </c>
    </row>
    <row r="76" spans="1:9" x14ac:dyDescent="0.2">
      <c r="A76" s="27" t="s">
        <v>57</v>
      </c>
      <c r="B76" s="27" t="s">
        <v>48</v>
      </c>
      <c r="C76">
        <v>100</v>
      </c>
      <c r="D76">
        <v>0.95</v>
      </c>
      <c r="E76">
        <v>0.95</v>
      </c>
      <c r="F76">
        <v>0.95</v>
      </c>
      <c r="G76">
        <v>0.9</v>
      </c>
      <c r="H76" s="27" t="s">
        <v>68</v>
      </c>
      <c r="I76">
        <v>0.75</v>
      </c>
    </row>
    <row r="77" spans="1:9" x14ac:dyDescent="0.2">
      <c r="A77" s="27" t="s">
        <v>57</v>
      </c>
      <c r="B77" s="27" t="s">
        <v>139</v>
      </c>
      <c r="C77">
        <v>100</v>
      </c>
      <c r="D77">
        <v>4.5</v>
      </c>
      <c r="E77">
        <v>3.8</v>
      </c>
      <c r="F77">
        <v>1.45</v>
      </c>
      <c r="G77">
        <v>1.35</v>
      </c>
      <c r="H77" s="27" t="s">
        <v>110</v>
      </c>
      <c r="I77">
        <v>1.1499999999999999</v>
      </c>
    </row>
    <row r="78" spans="1:9" x14ac:dyDescent="0.2">
      <c r="A78" s="27" t="s">
        <v>57</v>
      </c>
      <c r="B78" s="27" t="s">
        <v>140</v>
      </c>
      <c r="C78">
        <v>100</v>
      </c>
      <c r="D78">
        <v>4.5</v>
      </c>
      <c r="E78">
        <v>3.8</v>
      </c>
      <c r="F78">
        <v>1.45</v>
      </c>
      <c r="G78">
        <v>1.35</v>
      </c>
      <c r="H78" s="27" t="s">
        <v>110</v>
      </c>
      <c r="I78">
        <v>1.1499999999999999</v>
      </c>
    </row>
    <row r="79" spans="1:9" x14ac:dyDescent="0.2">
      <c r="A79" s="27" t="s">
        <v>57</v>
      </c>
      <c r="B79" s="27" t="s">
        <v>141</v>
      </c>
      <c r="C79">
        <v>100</v>
      </c>
      <c r="D79">
        <v>1.2</v>
      </c>
      <c r="E79">
        <v>1.2</v>
      </c>
      <c r="F79">
        <v>1.1000000000000001</v>
      </c>
      <c r="G79">
        <v>1.05</v>
      </c>
      <c r="H79" s="27" t="s">
        <v>74</v>
      </c>
      <c r="I79">
        <v>0.85</v>
      </c>
    </row>
    <row r="80" spans="1:9" x14ac:dyDescent="0.2">
      <c r="A80" s="27" t="s">
        <v>57</v>
      </c>
      <c r="B80" s="27" t="s">
        <v>142</v>
      </c>
      <c r="C80">
        <v>100</v>
      </c>
      <c r="D80">
        <v>1.2</v>
      </c>
      <c r="E80">
        <v>1.2</v>
      </c>
      <c r="F80">
        <v>1.1000000000000001</v>
      </c>
      <c r="G80">
        <v>1.05</v>
      </c>
      <c r="H80" s="27" t="s">
        <v>74</v>
      </c>
      <c r="I80">
        <v>0.85</v>
      </c>
    </row>
    <row r="81" spans="1:9" x14ac:dyDescent="0.2">
      <c r="A81" s="27" t="s">
        <v>57</v>
      </c>
      <c r="B81" s="27" t="s">
        <v>143</v>
      </c>
      <c r="C81">
        <v>100</v>
      </c>
      <c r="D81">
        <v>1.2</v>
      </c>
      <c r="E81">
        <v>1.2</v>
      </c>
      <c r="F81">
        <v>1.1000000000000001</v>
      </c>
      <c r="G81">
        <v>1.05</v>
      </c>
      <c r="H81" s="27" t="s">
        <v>74</v>
      </c>
      <c r="I81">
        <v>0.85</v>
      </c>
    </row>
    <row r="82" spans="1:9" x14ac:dyDescent="0.2">
      <c r="A82" s="27" t="s">
        <v>57</v>
      </c>
      <c r="B82" s="27" t="s">
        <v>144</v>
      </c>
      <c r="C82">
        <v>100</v>
      </c>
      <c r="D82">
        <v>1.2</v>
      </c>
      <c r="E82">
        <v>1.2</v>
      </c>
      <c r="F82">
        <v>1.1000000000000001</v>
      </c>
      <c r="G82">
        <v>1.05</v>
      </c>
      <c r="H82" s="27" t="s">
        <v>74</v>
      </c>
      <c r="I82">
        <v>0.85</v>
      </c>
    </row>
    <row r="83" spans="1:9" x14ac:dyDescent="0.2">
      <c r="A83" s="27" t="s">
        <v>57</v>
      </c>
      <c r="B83" s="27" t="s">
        <v>145</v>
      </c>
      <c r="C83">
        <v>100</v>
      </c>
      <c r="D83">
        <v>1.2</v>
      </c>
      <c r="E83">
        <v>1.2</v>
      </c>
      <c r="F83">
        <v>1.1000000000000001</v>
      </c>
      <c r="G83">
        <v>1.05</v>
      </c>
      <c r="H83" s="27" t="s">
        <v>74</v>
      </c>
      <c r="I83">
        <v>0.85</v>
      </c>
    </row>
    <row r="84" spans="1:9" x14ac:dyDescent="0.2">
      <c r="A84" s="27" t="s">
        <v>57</v>
      </c>
      <c r="B84" s="27" t="s">
        <v>146</v>
      </c>
      <c r="C84">
        <v>100</v>
      </c>
      <c r="D84">
        <v>1.2</v>
      </c>
      <c r="E84">
        <v>1.2</v>
      </c>
      <c r="F84">
        <v>1.1000000000000001</v>
      </c>
      <c r="G84">
        <v>1.05</v>
      </c>
      <c r="H84" s="27" t="s">
        <v>74</v>
      </c>
      <c r="I84">
        <v>0.85</v>
      </c>
    </row>
    <row r="85" spans="1:9" x14ac:dyDescent="0.2">
      <c r="A85" s="27" t="s">
        <v>57</v>
      </c>
      <c r="B85" s="27" t="s">
        <v>147</v>
      </c>
      <c r="C85">
        <v>100</v>
      </c>
      <c r="D85">
        <v>1.2</v>
      </c>
      <c r="E85">
        <v>1.2</v>
      </c>
      <c r="F85">
        <v>1.1000000000000001</v>
      </c>
      <c r="G85">
        <v>1.05</v>
      </c>
      <c r="H85" s="27" t="s">
        <v>74</v>
      </c>
      <c r="I85">
        <v>0.85</v>
      </c>
    </row>
    <row r="86" spans="1:9" x14ac:dyDescent="0.2">
      <c r="A86" s="27" t="s">
        <v>57</v>
      </c>
      <c r="B86" s="27" t="s">
        <v>148</v>
      </c>
      <c r="C86">
        <v>100</v>
      </c>
      <c r="D86">
        <v>1.2</v>
      </c>
      <c r="E86">
        <v>1.2</v>
      </c>
      <c r="F86">
        <v>1.1000000000000001</v>
      </c>
      <c r="G86">
        <v>1.05</v>
      </c>
      <c r="H86" s="27" t="s">
        <v>74</v>
      </c>
      <c r="I86">
        <v>0.85</v>
      </c>
    </row>
    <row r="87" spans="1:9" x14ac:dyDescent="0.2">
      <c r="A87" s="27" t="s">
        <v>57</v>
      </c>
      <c r="B87" s="27" t="s">
        <v>149</v>
      </c>
      <c r="C87">
        <v>100</v>
      </c>
      <c r="D87">
        <v>1.2</v>
      </c>
      <c r="E87">
        <v>1.2</v>
      </c>
      <c r="F87">
        <v>1.1000000000000001</v>
      </c>
      <c r="G87">
        <v>1.05</v>
      </c>
      <c r="H87" s="27" t="s">
        <v>74</v>
      </c>
      <c r="I87">
        <v>0.85</v>
      </c>
    </row>
    <row r="88" spans="1:9" x14ac:dyDescent="0.2">
      <c r="A88" s="27" t="s">
        <v>57</v>
      </c>
      <c r="B88" s="27" t="s">
        <v>150</v>
      </c>
      <c r="C88">
        <v>100</v>
      </c>
      <c r="D88">
        <v>1.2</v>
      </c>
      <c r="E88">
        <v>1.2</v>
      </c>
      <c r="F88">
        <v>1.1000000000000001</v>
      </c>
      <c r="G88">
        <v>1.05</v>
      </c>
      <c r="H88" s="27" t="s">
        <v>74</v>
      </c>
      <c r="I88">
        <v>0.85</v>
      </c>
    </row>
    <row r="89" spans="1:9" x14ac:dyDescent="0.2">
      <c r="A89" s="27" t="s">
        <v>57</v>
      </c>
      <c r="B89" s="27" t="s">
        <v>151</v>
      </c>
      <c r="C89">
        <v>100</v>
      </c>
      <c r="D89">
        <v>1.2</v>
      </c>
      <c r="E89">
        <v>1.2</v>
      </c>
      <c r="F89">
        <v>1.1000000000000001</v>
      </c>
      <c r="G89">
        <v>1.05</v>
      </c>
      <c r="H89" s="27" t="s">
        <v>74</v>
      </c>
      <c r="I89">
        <v>0.85</v>
      </c>
    </row>
    <row r="90" spans="1:9" x14ac:dyDescent="0.2">
      <c r="A90" s="27" t="s">
        <v>57</v>
      </c>
      <c r="B90" s="27" t="s">
        <v>152</v>
      </c>
      <c r="C90">
        <v>100</v>
      </c>
      <c r="D90">
        <v>1.2</v>
      </c>
      <c r="E90">
        <v>1.2</v>
      </c>
      <c r="F90">
        <v>1.05</v>
      </c>
      <c r="G90">
        <v>0.95</v>
      </c>
      <c r="H90" s="27" t="s">
        <v>68</v>
      </c>
      <c r="I90">
        <v>0.7</v>
      </c>
    </row>
    <row r="91" spans="1:9" x14ac:dyDescent="0.2">
      <c r="A91" s="27" t="s">
        <v>57</v>
      </c>
      <c r="B91" s="27" t="s">
        <v>153</v>
      </c>
      <c r="C91">
        <v>100</v>
      </c>
      <c r="D91">
        <v>1.2</v>
      </c>
      <c r="E91">
        <v>1.2</v>
      </c>
      <c r="F91">
        <v>1.05</v>
      </c>
      <c r="G91">
        <v>0.95</v>
      </c>
      <c r="H91" s="27" t="s">
        <v>68</v>
      </c>
      <c r="I91">
        <v>0.7</v>
      </c>
    </row>
    <row r="92" spans="1:9" x14ac:dyDescent="0.2">
      <c r="A92" s="27" t="s">
        <v>57</v>
      </c>
      <c r="B92" s="27" t="s">
        <v>154</v>
      </c>
      <c r="C92">
        <v>100</v>
      </c>
      <c r="D92">
        <v>1.2</v>
      </c>
      <c r="E92">
        <v>1.2</v>
      </c>
      <c r="F92">
        <v>1.05</v>
      </c>
      <c r="G92">
        <v>0.95</v>
      </c>
      <c r="H92" s="27" t="s">
        <v>68</v>
      </c>
      <c r="I92">
        <v>0.7</v>
      </c>
    </row>
    <row r="93" spans="1:9" x14ac:dyDescent="0.2">
      <c r="A93" s="27" t="s">
        <v>57</v>
      </c>
      <c r="B93" s="27" t="s">
        <v>155</v>
      </c>
      <c r="C93">
        <v>100</v>
      </c>
      <c r="D93">
        <v>1.2</v>
      </c>
      <c r="E93">
        <v>1.2</v>
      </c>
      <c r="F93">
        <v>1.05</v>
      </c>
      <c r="G93">
        <v>0.95</v>
      </c>
      <c r="H93" s="27" t="s">
        <v>68</v>
      </c>
      <c r="I93">
        <v>0.7</v>
      </c>
    </row>
    <row r="94" spans="1:9" x14ac:dyDescent="0.2">
      <c r="A94" s="27" t="s">
        <v>57</v>
      </c>
      <c r="B94" s="27" t="s">
        <v>156</v>
      </c>
      <c r="C94">
        <v>100</v>
      </c>
      <c r="D94">
        <v>1.2</v>
      </c>
      <c r="E94">
        <v>1.2</v>
      </c>
      <c r="F94">
        <v>1.05</v>
      </c>
      <c r="G94">
        <v>0.95</v>
      </c>
      <c r="H94" s="27" t="s">
        <v>68</v>
      </c>
      <c r="I94">
        <v>0.7</v>
      </c>
    </row>
    <row r="95" spans="1:9" x14ac:dyDescent="0.2">
      <c r="A95" s="27" t="s">
        <v>57</v>
      </c>
      <c r="B95" s="27" t="s">
        <v>157</v>
      </c>
      <c r="C95">
        <v>100</v>
      </c>
      <c r="D95">
        <v>1.2</v>
      </c>
      <c r="E95">
        <v>1.2</v>
      </c>
      <c r="F95">
        <v>1.05</v>
      </c>
      <c r="G95">
        <v>0.95</v>
      </c>
      <c r="H95" s="27" t="s">
        <v>68</v>
      </c>
      <c r="I95">
        <v>0.7</v>
      </c>
    </row>
    <row r="96" spans="1:9" x14ac:dyDescent="0.2">
      <c r="A96" s="27" t="s">
        <v>57</v>
      </c>
      <c r="B96" s="27" t="s">
        <v>158</v>
      </c>
      <c r="C96">
        <v>100</v>
      </c>
      <c r="D96">
        <v>1.2</v>
      </c>
      <c r="E96">
        <v>1.2</v>
      </c>
      <c r="F96">
        <v>1.05</v>
      </c>
      <c r="G96">
        <v>0.95</v>
      </c>
      <c r="H96" s="27" t="s">
        <v>68</v>
      </c>
      <c r="I96">
        <v>0.7</v>
      </c>
    </row>
    <row r="97" spans="1:9" x14ac:dyDescent="0.2">
      <c r="A97" s="27" t="s">
        <v>57</v>
      </c>
      <c r="B97" s="27" t="s">
        <v>159</v>
      </c>
      <c r="C97">
        <v>100</v>
      </c>
      <c r="D97">
        <v>1.2</v>
      </c>
      <c r="E97">
        <v>1.2</v>
      </c>
      <c r="F97">
        <v>1.05</v>
      </c>
      <c r="G97">
        <v>0.95</v>
      </c>
      <c r="H97" s="27" t="s">
        <v>68</v>
      </c>
      <c r="I97">
        <v>0.7</v>
      </c>
    </row>
    <row r="98" spans="1:9" x14ac:dyDescent="0.2">
      <c r="A98" s="27" t="s">
        <v>57</v>
      </c>
      <c r="B98" s="27" t="s">
        <v>160</v>
      </c>
      <c r="C98">
        <v>100</v>
      </c>
      <c r="D98">
        <v>1.2</v>
      </c>
      <c r="E98">
        <v>1.2</v>
      </c>
      <c r="F98">
        <v>1.05</v>
      </c>
      <c r="G98">
        <v>0.95</v>
      </c>
      <c r="H98" s="27" t="s">
        <v>68</v>
      </c>
      <c r="I98">
        <v>0.7</v>
      </c>
    </row>
    <row r="99" spans="1:9" x14ac:dyDescent="0.2">
      <c r="A99" s="27" t="s">
        <v>57</v>
      </c>
      <c r="B99" s="27" t="s">
        <v>161</v>
      </c>
      <c r="C99">
        <v>100</v>
      </c>
      <c r="D99">
        <v>1.2</v>
      </c>
      <c r="E99">
        <v>1.2</v>
      </c>
      <c r="F99">
        <v>1.05</v>
      </c>
      <c r="G99">
        <v>0.95</v>
      </c>
      <c r="H99" s="27" t="s">
        <v>68</v>
      </c>
      <c r="I99">
        <v>0.7</v>
      </c>
    </row>
    <row r="100" spans="1:9" x14ac:dyDescent="0.2">
      <c r="A100" s="27" t="s">
        <v>57</v>
      </c>
      <c r="B100" s="27" t="s">
        <v>162</v>
      </c>
      <c r="C100">
        <v>100</v>
      </c>
      <c r="D100">
        <v>1.2</v>
      </c>
      <c r="E100">
        <v>1.2</v>
      </c>
      <c r="F100">
        <v>1.05</v>
      </c>
      <c r="G100">
        <v>0.95</v>
      </c>
      <c r="H100" s="27" t="s">
        <v>68</v>
      </c>
      <c r="I100">
        <v>0.7</v>
      </c>
    </row>
    <row r="101" spans="1:9" x14ac:dyDescent="0.2">
      <c r="A101" s="27" t="s">
        <v>57</v>
      </c>
      <c r="B101" s="27" t="s">
        <v>163</v>
      </c>
      <c r="C101">
        <v>100</v>
      </c>
      <c r="D101">
        <v>1.2</v>
      </c>
      <c r="E101">
        <v>1.2</v>
      </c>
      <c r="F101">
        <v>1.05</v>
      </c>
      <c r="G101">
        <v>0.95</v>
      </c>
      <c r="H101" s="27" t="s">
        <v>68</v>
      </c>
      <c r="I101">
        <v>0.7</v>
      </c>
    </row>
    <row r="102" spans="1:9" x14ac:dyDescent="0.2">
      <c r="A102" s="27" t="s">
        <v>57</v>
      </c>
      <c r="B102" s="27" t="s">
        <v>128</v>
      </c>
      <c r="C102">
        <v>100</v>
      </c>
      <c r="D102">
        <v>4.5</v>
      </c>
      <c r="E102">
        <v>3.8</v>
      </c>
      <c r="F102">
        <v>1.95</v>
      </c>
      <c r="G102">
        <v>1.85</v>
      </c>
      <c r="H102" s="27" t="s">
        <v>102</v>
      </c>
      <c r="I102">
        <v>1.65</v>
      </c>
    </row>
    <row r="103" spans="1:9" x14ac:dyDescent="0.2">
      <c r="A103" s="27" t="s">
        <v>57</v>
      </c>
      <c r="B103" s="27" t="s">
        <v>54</v>
      </c>
      <c r="C103">
        <v>100</v>
      </c>
      <c r="D103">
        <v>4.5</v>
      </c>
      <c r="E103">
        <v>3.8</v>
      </c>
      <c r="F103">
        <v>1.95</v>
      </c>
      <c r="G103">
        <v>1.85</v>
      </c>
      <c r="H103" s="27" t="s">
        <v>102</v>
      </c>
      <c r="I103">
        <v>1.65</v>
      </c>
    </row>
    <row r="104" spans="1:9" x14ac:dyDescent="0.2">
      <c r="A104" s="27" t="s">
        <v>57</v>
      </c>
      <c r="B104" s="27" t="s">
        <v>166</v>
      </c>
      <c r="C104">
        <v>100</v>
      </c>
      <c r="D104">
        <v>4.5</v>
      </c>
      <c r="E104">
        <v>3.8</v>
      </c>
      <c r="F104">
        <v>1.85</v>
      </c>
      <c r="G104">
        <v>1.65</v>
      </c>
      <c r="H104" s="27" t="s">
        <v>104</v>
      </c>
      <c r="I104">
        <v>1.45</v>
      </c>
    </row>
    <row r="105" spans="1:9" x14ac:dyDescent="0.2">
      <c r="A105" s="27" t="s">
        <v>57</v>
      </c>
      <c r="B105" s="27" t="s">
        <v>167</v>
      </c>
      <c r="C105">
        <v>100</v>
      </c>
      <c r="D105">
        <v>4.5</v>
      </c>
      <c r="E105">
        <v>3.8</v>
      </c>
      <c r="F105">
        <v>1.85</v>
      </c>
      <c r="G105">
        <v>1.65</v>
      </c>
      <c r="H105" s="27" t="s">
        <v>104</v>
      </c>
      <c r="I105">
        <v>1.45</v>
      </c>
    </row>
    <row r="106" spans="1:9" x14ac:dyDescent="0.2">
      <c r="A106" s="27" t="s">
        <v>57</v>
      </c>
      <c r="B106" s="27" t="s">
        <v>51</v>
      </c>
      <c r="C106">
        <v>100</v>
      </c>
      <c r="D106">
        <v>4.5</v>
      </c>
      <c r="E106">
        <v>3.8</v>
      </c>
      <c r="F106">
        <v>1.45</v>
      </c>
      <c r="G106">
        <v>1.35</v>
      </c>
      <c r="H106" s="27" t="s">
        <v>110</v>
      </c>
      <c r="I106">
        <v>1.1499999999999999</v>
      </c>
    </row>
    <row r="107" spans="1:9" x14ac:dyDescent="0.2">
      <c r="A107" s="27" t="s">
        <v>57</v>
      </c>
      <c r="B107" s="27" t="s">
        <v>52</v>
      </c>
      <c r="C107">
        <v>100</v>
      </c>
      <c r="D107">
        <v>4.5</v>
      </c>
      <c r="E107">
        <v>3.8</v>
      </c>
      <c r="F107">
        <v>1.4</v>
      </c>
      <c r="G107">
        <v>1.3</v>
      </c>
      <c r="H107" s="27" t="s">
        <v>82</v>
      </c>
      <c r="I107">
        <v>1.1000000000000001</v>
      </c>
    </row>
    <row r="108" spans="1:9" x14ac:dyDescent="0.2">
      <c r="A108" s="27" t="s">
        <v>58</v>
      </c>
      <c r="B108" s="27" t="s">
        <v>47</v>
      </c>
      <c r="C108">
        <v>100</v>
      </c>
      <c r="D108">
        <v>1.25</v>
      </c>
      <c r="E108">
        <v>1.25</v>
      </c>
      <c r="F108">
        <v>1.25</v>
      </c>
      <c r="G108">
        <v>1.1499999999999999</v>
      </c>
      <c r="H108" s="27" t="s">
        <v>72</v>
      </c>
      <c r="I108">
        <v>0.95</v>
      </c>
    </row>
    <row r="109" spans="1:9" x14ac:dyDescent="0.2">
      <c r="A109" s="27" t="s">
        <v>58</v>
      </c>
      <c r="B109" s="27" t="s">
        <v>48</v>
      </c>
      <c r="C109">
        <v>100</v>
      </c>
      <c r="D109">
        <v>1.2</v>
      </c>
      <c r="E109">
        <v>1.2</v>
      </c>
      <c r="F109">
        <v>1.2</v>
      </c>
      <c r="G109">
        <v>1.1000000000000001</v>
      </c>
      <c r="H109" s="27" t="s">
        <v>73</v>
      </c>
      <c r="I109">
        <v>0.9</v>
      </c>
    </row>
    <row r="110" spans="1:9" x14ac:dyDescent="0.2">
      <c r="A110" s="27" t="s">
        <v>58</v>
      </c>
      <c r="B110" s="27" t="s">
        <v>139</v>
      </c>
      <c r="C110">
        <v>100</v>
      </c>
      <c r="D110">
        <v>4.5</v>
      </c>
      <c r="E110">
        <v>3.8</v>
      </c>
      <c r="F110">
        <v>1.6</v>
      </c>
      <c r="G110">
        <v>1.5</v>
      </c>
      <c r="H110" s="27" t="s">
        <v>80</v>
      </c>
      <c r="I110">
        <v>1.3</v>
      </c>
    </row>
    <row r="111" spans="1:9" x14ac:dyDescent="0.2">
      <c r="A111" s="27" t="s">
        <v>58</v>
      </c>
      <c r="B111" s="27" t="s">
        <v>140</v>
      </c>
      <c r="C111">
        <v>100</v>
      </c>
      <c r="D111">
        <v>4.5</v>
      </c>
      <c r="E111">
        <v>3.8</v>
      </c>
      <c r="F111">
        <v>1.6</v>
      </c>
      <c r="G111">
        <v>1.5</v>
      </c>
      <c r="H111" s="27" t="s">
        <v>80</v>
      </c>
      <c r="I111">
        <v>1.3</v>
      </c>
    </row>
    <row r="112" spans="1:9" x14ac:dyDescent="0.2">
      <c r="A112" s="27" t="s">
        <v>58</v>
      </c>
      <c r="B112" s="27" t="s">
        <v>141</v>
      </c>
      <c r="C112">
        <v>100</v>
      </c>
      <c r="D112">
        <v>1.5</v>
      </c>
      <c r="E112">
        <v>1.5</v>
      </c>
      <c r="F112">
        <v>1.4</v>
      </c>
      <c r="G112">
        <v>1.3</v>
      </c>
      <c r="H112" s="27" t="s">
        <v>82</v>
      </c>
      <c r="I112">
        <v>1.1000000000000001</v>
      </c>
    </row>
    <row r="113" spans="1:9" x14ac:dyDescent="0.2">
      <c r="A113" s="27" t="s">
        <v>58</v>
      </c>
      <c r="B113" s="27" t="s">
        <v>142</v>
      </c>
      <c r="C113">
        <v>100</v>
      </c>
      <c r="D113">
        <v>1.5</v>
      </c>
      <c r="E113">
        <v>1.5</v>
      </c>
      <c r="F113">
        <v>1.4</v>
      </c>
      <c r="G113">
        <v>1.3</v>
      </c>
      <c r="H113" s="27" t="s">
        <v>82</v>
      </c>
      <c r="I113">
        <v>1.1000000000000001</v>
      </c>
    </row>
    <row r="114" spans="1:9" x14ac:dyDescent="0.2">
      <c r="A114" s="27" t="s">
        <v>58</v>
      </c>
      <c r="B114" s="27" t="s">
        <v>143</v>
      </c>
      <c r="C114">
        <v>100</v>
      </c>
      <c r="D114">
        <v>1.5</v>
      </c>
      <c r="E114">
        <v>1.5</v>
      </c>
      <c r="F114">
        <v>1.4</v>
      </c>
      <c r="G114">
        <v>1.3</v>
      </c>
      <c r="H114" s="27" t="s">
        <v>82</v>
      </c>
      <c r="I114">
        <v>1.1000000000000001</v>
      </c>
    </row>
    <row r="115" spans="1:9" x14ac:dyDescent="0.2">
      <c r="A115" s="27" t="s">
        <v>58</v>
      </c>
      <c r="B115" s="27" t="s">
        <v>144</v>
      </c>
      <c r="C115">
        <v>100</v>
      </c>
      <c r="D115">
        <v>1.5</v>
      </c>
      <c r="E115">
        <v>1.5</v>
      </c>
      <c r="F115">
        <v>1.4</v>
      </c>
      <c r="G115">
        <v>1.3</v>
      </c>
      <c r="H115" s="27" t="s">
        <v>82</v>
      </c>
      <c r="I115">
        <v>1.1000000000000001</v>
      </c>
    </row>
    <row r="116" spans="1:9" x14ac:dyDescent="0.2">
      <c r="A116" s="27" t="s">
        <v>58</v>
      </c>
      <c r="B116" s="27" t="s">
        <v>145</v>
      </c>
      <c r="C116">
        <v>100</v>
      </c>
      <c r="D116">
        <v>1.5</v>
      </c>
      <c r="E116">
        <v>1.5</v>
      </c>
      <c r="F116">
        <v>1.4</v>
      </c>
      <c r="G116">
        <v>1.3</v>
      </c>
      <c r="H116" s="27" t="s">
        <v>82</v>
      </c>
      <c r="I116">
        <v>1.1000000000000001</v>
      </c>
    </row>
    <row r="117" spans="1:9" x14ac:dyDescent="0.2">
      <c r="A117" s="27" t="s">
        <v>58</v>
      </c>
      <c r="B117" s="27" t="s">
        <v>146</v>
      </c>
      <c r="C117">
        <v>100</v>
      </c>
      <c r="D117">
        <v>1.5</v>
      </c>
      <c r="E117">
        <v>1.5</v>
      </c>
      <c r="F117">
        <v>1.4</v>
      </c>
      <c r="G117">
        <v>1.3</v>
      </c>
      <c r="H117" s="27" t="s">
        <v>82</v>
      </c>
      <c r="I117">
        <v>1.1000000000000001</v>
      </c>
    </row>
    <row r="118" spans="1:9" x14ac:dyDescent="0.2">
      <c r="A118" s="27" t="s">
        <v>58</v>
      </c>
      <c r="B118" s="27" t="s">
        <v>147</v>
      </c>
      <c r="C118">
        <v>100</v>
      </c>
      <c r="D118">
        <v>1.5</v>
      </c>
      <c r="E118">
        <v>1.5</v>
      </c>
      <c r="F118">
        <v>1.4</v>
      </c>
      <c r="G118">
        <v>1.3</v>
      </c>
      <c r="H118" s="27" t="s">
        <v>82</v>
      </c>
      <c r="I118">
        <v>1.1000000000000001</v>
      </c>
    </row>
    <row r="119" spans="1:9" x14ac:dyDescent="0.2">
      <c r="A119" s="27" t="s">
        <v>58</v>
      </c>
      <c r="B119" s="27" t="s">
        <v>148</v>
      </c>
      <c r="C119">
        <v>100</v>
      </c>
      <c r="D119">
        <v>1.5</v>
      </c>
      <c r="E119">
        <v>1.5</v>
      </c>
      <c r="F119">
        <v>1.4</v>
      </c>
      <c r="G119">
        <v>1.3</v>
      </c>
      <c r="H119" s="27" t="s">
        <v>82</v>
      </c>
      <c r="I119">
        <v>1.1000000000000001</v>
      </c>
    </row>
    <row r="120" spans="1:9" x14ac:dyDescent="0.2">
      <c r="A120" s="27" t="s">
        <v>58</v>
      </c>
      <c r="B120" s="27" t="s">
        <v>149</v>
      </c>
      <c r="C120">
        <v>100</v>
      </c>
      <c r="D120">
        <v>1.5</v>
      </c>
      <c r="E120">
        <v>1.5</v>
      </c>
      <c r="F120">
        <v>1.4</v>
      </c>
      <c r="G120">
        <v>1.3</v>
      </c>
      <c r="H120" s="27" t="s">
        <v>82</v>
      </c>
      <c r="I120">
        <v>1.1000000000000001</v>
      </c>
    </row>
    <row r="121" spans="1:9" x14ac:dyDescent="0.2">
      <c r="A121" s="27" t="s">
        <v>58</v>
      </c>
      <c r="B121" s="27" t="s">
        <v>150</v>
      </c>
      <c r="C121">
        <v>100</v>
      </c>
      <c r="D121">
        <v>1.5</v>
      </c>
      <c r="E121">
        <v>1.5</v>
      </c>
      <c r="F121">
        <v>1.4</v>
      </c>
      <c r="G121">
        <v>1.3</v>
      </c>
      <c r="H121" s="27" t="s">
        <v>82</v>
      </c>
      <c r="I121">
        <v>1.1000000000000001</v>
      </c>
    </row>
    <row r="122" spans="1:9" x14ac:dyDescent="0.2">
      <c r="A122" s="27" t="s">
        <v>58</v>
      </c>
      <c r="B122" s="27" t="s">
        <v>151</v>
      </c>
      <c r="C122">
        <v>100</v>
      </c>
      <c r="D122">
        <v>1.5</v>
      </c>
      <c r="E122">
        <v>1.5</v>
      </c>
      <c r="F122">
        <v>1.4</v>
      </c>
      <c r="G122">
        <v>1.3</v>
      </c>
      <c r="H122" s="27" t="s">
        <v>82</v>
      </c>
      <c r="I122">
        <v>1.1000000000000001</v>
      </c>
    </row>
    <row r="123" spans="1:9" x14ac:dyDescent="0.2">
      <c r="A123" s="27" t="s">
        <v>58</v>
      </c>
      <c r="B123" s="27" t="s">
        <v>152</v>
      </c>
      <c r="C123">
        <v>100</v>
      </c>
      <c r="D123">
        <v>1.2</v>
      </c>
      <c r="E123">
        <v>1.2</v>
      </c>
      <c r="F123">
        <v>1.2</v>
      </c>
      <c r="G123">
        <v>1.1000000000000001</v>
      </c>
      <c r="H123" s="27" t="s">
        <v>73</v>
      </c>
      <c r="I123">
        <v>0.9</v>
      </c>
    </row>
    <row r="124" spans="1:9" x14ac:dyDescent="0.2">
      <c r="A124" s="27" t="s">
        <v>58</v>
      </c>
      <c r="B124" s="27" t="s">
        <v>153</v>
      </c>
      <c r="C124">
        <v>100</v>
      </c>
      <c r="D124">
        <v>1.2</v>
      </c>
      <c r="E124">
        <v>1.2</v>
      </c>
      <c r="F124">
        <v>1.2</v>
      </c>
      <c r="G124">
        <v>1.1000000000000001</v>
      </c>
      <c r="H124" s="27" t="s">
        <v>73</v>
      </c>
      <c r="I124">
        <v>0.9</v>
      </c>
    </row>
    <row r="125" spans="1:9" x14ac:dyDescent="0.2">
      <c r="A125" s="27" t="s">
        <v>58</v>
      </c>
      <c r="B125" s="27" t="s">
        <v>154</v>
      </c>
      <c r="C125">
        <v>100</v>
      </c>
      <c r="D125">
        <v>1.2</v>
      </c>
      <c r="E125">
        <v>1.2</v>
      </c>
      <c r="F125">
        <v>1.2</v>
      </c>
      <c r="G125">
        <v>1.1000000000000001</v>
      </c>
      <c r="H125" s="27" t="s">
        <v>73</v>
      </c>
      <c r="I125">
        <v>0.9</v>
      </c>
    </row>
    <row r="126" spans="1:9" x14ac:dyDescent="0.2">
      <c r="A126" s="27" t="s">
        <v>58</v>
      </c>
      <c r="B126" s="27" t="s">
        <v>155</v>
      </c>
      <c r="C126">
        <v>100</v>
      </c>
      <c r="D126">
        <v>1.2</v>
      </c>
      <c r="E126">
        <v>1.2</v>
      </c>
      <c r="F126">
        <v>1.2</v>
      </c>
      <c r="G126">
        <v>1.1000000000000001</v>
      </c>
      <c r="H126" s="27" t="s">
        <v>73</v>
      </c>
      <c r="I126">
        <v>0.9</v>
      </c>
    </row>
    <row r="127" spans="1:9" x14ac:dyDescent="0.2">
      <c r="A127" s="27" t="s">
        <v>58</v>
      </c>
      <c r="B127" s="27" t="s">
        <v>156</v>
      </c>
      <c r="C127">
        <v>100</v>
      </c>
      <c r="D127">
        <v>1.2</v>
      </c>
      <c r="E127">
        <v>1.2</v>
      </c>
      <c r="F127">
        <v>1.2</v>
      </c>
      <c r="G127">
        <v>1.1000000000000001</v>
      </c>
      <c r="H127" s="27" t="s">
        <v>73</v>
      </c>
      <c r="I127">
        <v>0.9</v>
      </c>
    </row>
    <row r="128" spans="1:9" x14ac:dyDescent="0.2">
      <c r="A128" s="27" t="s">
        <v>58</v>
      </c>
      <c r="B128" s="27" t="s">
        <v>157</v>
      </c>
      <c r="C128">
        <v>100</v>
      </c>
      <c r="D128">
        <v>1.2</v>
      </c>
      <c r="E128">
        <v>1.2</v>
      </c>
      <c r="F128">
        <v>1.2</v>
      </c>
      <c r="G128">
        <v>1.1000000000000001</v>
      </c>
      <c r="H128" s="27" t="s">
        <v>73</v>
      </c>
      <c r="I128">
        <v>0.9</v>
      </c>
    </row>
    <row r="129" spans="1:9" x14ac:dyDescent="0.2">
      <c r="A129" s="27" t="s">
        <v>58</v>
      </c>
      <c r="B129" s="27" t="s">
        <v>158</v>
      </c>
      <c r="C129">
        <v>100</v>
      </c>
      <c r="D129">
        <v>1.2</v>
      </c>
      <c r="E129">
        <v>1.2</v>
      </c>
      <c r="F129">
        <v>1.2</v>
      </c>
      <c r="G129">
        <v>1.1000000000000001</v>
      </c>
      <c r="H129" s="27" t="s">
        <v>73</v>
      </c>
      <c r="I129">
        <v>0.9</v>
      </c>
    </row>
    <row r="130" spans="1:9" x14ac:dyDescent="0.2">
      <c r="A130" s="27" t="s">
        <v>58</v>
      </c>
      <c r="B130" s="27" t="s">
        <v>159</v>
      </c>
      <c r="C130">
        <v>100</v>
      </c>
      <c r="D130">
        <v>1.2</v>
      </c>
      <c r="E130">
        <v>1.2</v>
      </c>
      <c r="F130">
        <v>1.2</v>
      </c>
      <c r="G130">
        <v>1.1000000000000001</v>
      </c>
      <c r="H130" s="27" t="s">
        <v>73</v>
      </c>
      <c r="I130">
        <v>0.9</v>
      </c>
    </row>
    <row r="131" spans="1:9" x14ac:dyDescent="0.2">
      <c r="A131" s="27" t="s">
        <v>58</v>
      </c>
      <c r="B131" s="27" t="s">
        <v>160</v>
      </c>
      <c r="C131">
        <v>100</v>
      </c>
      <c r="D131">
        <v>1.2</v>
      </c>
      <c r="E131">
        <v>1.2</v>
      </c>
      <c r="F131">
        <v>1.2</v>
      </c>
      <c r="G131">
        <v>1.1000000000000001</v>
      </c>
      <c r="H131" s="27" t="s">
        <v>73</v>
      </c>
      <c r="I131">
        <v>0.9</v>
      </c>
    </row>
    <row r="132" spans="1:9" x14ac:dyDescent="0.2">
      <c r="A132" s="27" t="s">
        <v>58</v>
      </c>
      <c r="B132" s="27" t="s">
        <v>161</v>
      </c>
      <c r="C132">
        <v>100</v>
      </c>
      <c r="D132">
        <v>1.2</v>
      </c>
      <c r="E132">
        <v>1.2</v>
      </c>
      <c r="F132">
        <v>1.2</v>
      </c>
      <c r="G132">
        <v>1.1000000000000001</v>
      </c>
      <c r="H132" s="27" t="s">
        <v>73</v>
      </c>
      <c r="I132">
        <v>0.9</v>
      </c>
    </row>
    <row r="133" spans="1:9" x14ac:dyDescent="0.2">
      <c r="A133" s="27" t="s">
        <v>58</v>
      </c>
      <c r="B133" s="27" t="s">
        <v>162</v>
      </c>
      <c r="C133">
        <v>100</v>
      </c>
      <c r="D133">
        <v>1.2</v>
      </c>
      <c r="E133">
        <v>1.2</v>
      </c>
      <c r="F133">
        <v>1.2</v>
      </c>
      <c r="G133">
        <v>1.1000000000000001</v>
      </c>
      <c r="H133" s="27" t="s">
        <v>73</v>
      </c>
      <c r="I133">
        <v>0.9</v>
      </c>
    </row>
    <row r="134" spans="1:9" x14ac:dyDescent="0.2">
      <c r="A134" s="27" t="s">
        <v>58</v>
      </c>
      <c r="B134" s="27" t="s">
        <v>163</v>
      </c>
      <c r="C134">
        <v>100</v>
      </c>
      <c r="D134">
        <v>1.2</v>
      </c>
      <c r="E134">
        <v>1.2</v>
      </c>
      <c r="F134">
        <v>1.2</v>
      </c>
      <c r="G134">
        <v>1.1000000000000001</v>
      </c>
      <c r="H134" s="27" t="s">
        <v>73</v>
      </c>
      <c r="I134">
        <v>0.9</v>
      </c>
    </row>
    <row r="135" spans="1:9" x14ac:dyDescent="0.2">
      <c r="A135" s="27" t="s">
        <v>58</v>
      </c>
      <c r="B135" s="27" t="s">
        <v>164</v>
      </c>
      <c r="C135">
        <v>100</v>
      </c>
      <c r="D135">
        <v>4.5</v>
      </c>
      <c r="E135">
        <v>3.8</v>
      </c>
      <c r="F135">
        <v>2.15</v>
      </c>
      <c r="G135">
        <v>2.0499999999999998</v>
      </c>
      <c r="H135" s="27" t="s">
        <v>100</v>
      </c>
      <c r="I135">
        <v>1.85</v>
      </c>
    </row>
    <row r="136" spans="1:9" x14ac:dyDescent="0.2">
      <c r="A136" s="27" t="s">
        <v>58</v>
      </c>
      <c r="B136" s="27" t="s">
        <v>165</v>
      </c>
      <c r="C136">
        <v>100</v>
      </c>
      <c r="D136">
        <v>4.5</v>
      </c>
      <c r="E136">
        <v>3.8</v>
      </c>
      <c r="F136">
        <v>2.15</v>
      </c>
      <c r="G136">
        <v>2.0499999999999998</v>
      </c>
      <c r="H136" s="27" t="s">
        <v>100</v>
      </c>
      <c r="I136">
        <v>1.85</v>
      </c>
    </row>
    <row r="137" spans="1:9" x14ac:dyDescent="0.2">
      <c r="A137" s="27" t="s">
        <v>58</v>
      </c>
      <c r="B137" s="27" t="s">
        <v>54</v>
      </c>
      <c r="C137">
        <v>100</v>
      </c>
      <c r="D137">
        <v>4.5</v>
      </c>
      <c r="E137">
        <v>3.8</v>
      </c>
      <c r="F137">
        <v>2.15</v>
      </c>
      <c r="G137">
        <v>2.0499999999999998</v>
      </c>
      <c r="H137" s="27" t="s">
        <v>100</v>
      </c>
      <c r="I137">
        <v>1.85</v>
      </c>
    </row>
    <row r="138" spans="1:9" x14ac:dyDescent="0.2">
      <c r="A138" s="27" t="s">
        <v>58</v>
      </c>
      <c r="B138" s="27" t="s">
        <v>51</v>
      </c>
      <c r="C138">
        <v>100</v>
      </c>
      <c r="D138">
        <v>4.5</v>
      </c>
      <c r="E138">
        <v>3.8</v>
      </c>
      <c r="F138">
        <v>2.0499999999999998</v>
      </c>
      <c r="G138">
        <v>1.95</v>
      </c>
      <c r="H138" s="27" t="s">
        <v>101</v>
      </c>
      <c r="I138">
        <v>1.75</v>
      </c>
    </row>
    <row r="139" spans="1:9" x14ac:dyDescent="0.2">
      <c r="A139" s="27" t="s">
        <v>58</v>
      </c>
      <c r="B139" s="27" t="s">
        <v>166</v>
      </c>
      <c r="C139">
        <v>100</v>
      </c>
      <c r="D139">
        <v>4.5</v>
      </c>
      <c r="E139">
        <v>3.8</v>
      </c>
      <c r="F139">
        <v>2.0499999999999998</v>
      </c>
      <c r="G139">
        <v>1.95</v>
      </c>
      <c r="H139" s="27" t="s">
        <v>101</v>
      </c>
      <c r="I139">
        <v>1.65</v>
      </c>
    </row>
    <row r="140" spans="1:9" x14ac:dyDescent="0.2">
      <c r="A140" s="27" t="s">
        <v>58</v>
      </c>
      <c r="B140" s="27" t="s">
        <v>167</v>
      </c>
      <c r="C140">
        <v>100</v>
      </c>
      <c r="D140">
        <v>4.5</v>
      </c>
      <c r="E140">
        <v>3.8</v>
      </c>
      <c r="F140">
        <v>2.0499999999999998</v>
      </c>
      <c r="G140">
        <v>1.95</v>
      </c>
      <c r="H140" s="27" t="s">
        <v>101</v>
      </c>
      <c r="I140">
        <v>1.65</v>
      </c>
    </row>
    <row r="141" spans="1:9" x14ac:dyDescent="0.2">
      <c r="A141" s="27" t="s">
        <v>58</v>
      </c>
      <c r="B141" s="27" t="s">
        <v>52</v>
      </c>
      <c r="C141">
        <v>100</v>
      </c>
      <c r="D141">
        <v>4.5</v>
      </c>
      <c r="E141">
        <v>3.8</v>
      </c>
      <c r="F141">
        <v>1.65</v>
      </c>
      <c r="G141">
        <v>1.55</v>
      </c>
      <c r="H141" s="27" t="s">
        <v>105</v>
      </c>
      <c r="I141">
        <v>1.35</v>
      </c>
    </row>
    <row r="142" spans="1:9" x14ac:dyDescent="0.2">
      <c r="A142" s="27" t="s">
        <v>59</v>
      </c>
      <c r="B142" s="27" t="s">
        <v>47</v>
      </c>
      <c r="C142">
        <v>100</v>
      </c>
      <c r="D142">
        <v>1.4</v>
      </c>
      <c r="E142">
        <v>1.4</v>
      </c>
      <c r="F142">
        <v>1.3</v>
      </c>
      <c r="G142">
        <v>1.2</v>
      </c>
      <c r="H142" s="27" t="s">
        <v>111</v>
      </c>
      <c r="I142">
        <v>1</v>
      </c>
    </row>
    <row r="143" spans="1:9" x14ac:dyDescent="0.2">
      <c r="A143" s="27" t="s">
        <v>59</v>
      </c>
      <c r="B143" s="27" t="s">
        <v>48</v>
      </c>
      <c r="C143">
        <v>100</v>
      </c>
      <c r="D143">
        <v>1.45</v>
      </c>
      <c r="E143">
        <v>1.45</v>
      </c>
      <c r="F143">
        <v>1.35</v>
      </c>
      <c r="G143">
        <v>1.25</v>
      </c>
      <c r="H143" s="27" t="s">
        <v>92</v>
      </c>
      <c r="I143">
        <v>1.05</v>
      </c>
    </row>
    <row r="144" spans="1:9" x14ac:dyDescent="0.2">
      <c r="A144" s="27" t="s">
        <v>59</v>
      </c>
      <c r="B144" s="27" t="s">
        <v>139</v>
      </c>
      <c r="C144">
        <v>100</v>
      </c>
      <c r="D144">
        <v>4.5</v>
      </c>
      <c r="E144">
        <v>3.8</v>
      </c>
      <c r="F144">
        <v>1.4</v>
      </c>
      <c r="G144">
        <v>1.3</v>
      </c>
      <c r="H144" s="27" t="s">
        <v>82</v>
      </c>
      <c r="I144">
        <v>1.1000000000000001</v>
      </c>
    </row>
    <row r="145" spans="1:9" x14ac:dyDescent="0.2">
      <c r="A145" s="27" t="s">
        <v>59</v>
      </c>
      <c r="B145" s="27" t="s">
        <v>140</v>
      </c>
      <c r="C145">
        <v>100</v>
      </c>
      <c r="D145">
        <v>4.5</v>
      </c>
      <c r="E145">
        <v>3.8</v>
      </c>
      <c r="F145">
        <v>1.4</v>
      </c>
      <c r="G145">
        <v>1.3</v>
      </c>
      <c r="H145" s="27" t="s">
        <v>82</v>
      </c>
      <c r="I145">
        <v>1.1000000000000001</v>
      </c>
    </row>
    <row r="146" spans="1:9" x14ac:dyDescent="0.2">
      <c r="A146" s="27" t="s">
        <v>59</v>
      </c>
      <c r="B146" s="27" t="s">
        <v>141</v>
      </c>
      <c r="C146">
        <v>100</v>
      </c>
      <c r="D146">
        <v>1.7</v>
      </c>
      <c r="E146">
        <v>1.7</v>
      </c>
      <c r="F146">
        <v>1.35</v>
      </c>
      <c r="G146">
        <v>1.25</v>
      </c>
      <c r="H146" s="27" t="s">
        <v>92</v>
      </c>
      <c r="I146">
        <v>1.05</v>
      </c>
    </row>
    <row r="147" spans="1:9" x14ac:dyDescent="0.2">
      <c r="A147" s="27" t="s">
        <v>59</v>
      </c>
      <c r="B147" s="27" t="s">
        <v>142</v>
      </c>
      <c r="C147">
        <v>100</v>
      </c>
      <c r="D147">
        <v>1.7</v>
      </c>
      <c r="E147">
        <v>1.7</v>
      </c>
      <c r="F147">
        <v>1.35</v>
      </c>
      <c r="G147">
        <v>1.25</v>
      </c>
      <c r="H147" s="27" t="s">
        <v>92</v>
      </c>
      <c r="I147">
        <v>1.05</v>
      </c>
    </row>
    <row r="148" spans="1:9" x14ac:dyDescent="0.2">
      <c r="A148" s="27" t="s">
        <v>59</v>
      </c>
      <c r="B148" s="27" t="s">
        <v>143</v>
      </c>
      <c r="C148">
        <v>100</v>
      </c>
      <c r="D148">
        <v>1.7</v>
      </c>
      <c r="E148">
        <v>1.7</v>
      </c>
      <c r="F148">
        <v>1.35</v>
      </c>
      <c r="G148">
        <v>1.25</v>
      </c>
      <c r="H148" s="27" t="s">
        <v>92</v>
      </c>
      <c r="I148">
        <v>1.05</v>
      </c>
    </row>
    <row r="149" spans="1:9" x14ac:dyDescent="0.2">
      <c r="A149" s="27" t="s">
        <v>59</v>
      </c>
      <c r="B149" s="27" t="s">
        <v>144</v>
      </c>
      <c r="C149">
        <v>100</v>
      </c>
      <c r="D149">
        <v>1.7</v>
      </c>
      <c r="E149">
        <v>1.7</v>
      </c>
      <c r="F149">
        <v>1.35</v>
      </c>
      <c r="G149">
        <v>1.25</v>
      </c>
      <c r="H149" s="27" t="s">
        <v>92</v>
      </c>
      <c r="I149">
        <v>1.05</v>
      </c>
    </row>
    <row r="150" spans="1:9" x14ac:dyDescent="0.2">
      <c r="A150" s="27" t="s">
        <v>59</v>
      </c>
      <c r="B150" s="27" t="s">
        <v>145</v>
      </c>
      <c r="C150">
        <v>100</v>
      </c>
      <c r="D150">
        <v>1.7</v>
      </c>
      <c r="E150">
        <v>1.7</v>
      </c>
      <c r="F150">
        <v>1.35</v>
      </c>
      <c r="G150">
        <v>1.25</v>
      </c>
      <c r="H150" s="27" t="s">
        <v>92</v>
      </c>
      <c r="I150">
        <v>1.05</v>
      </c>
    </row>
    <row r="151" spans="1:9" x14ac:dyDescent="0.2">
      <c r="A151" s="27" t="s">
        <v>59</v>
      </c>
      <c r="B151" s="27" t="s">
        <v>146</v>
      </c>
      <c r="C151">
        <v>100</v>
      </c>
      <c r="D151">
        <v>1.7</v>
      </c>
      <c r="E151">
        <v>1.7</v>
      </c>
      <c r="F151">
        <v>1.35</v>
      </c>
      <c r="G151">
        <v>1.25</v>
      </c>
      <c r="H151" s="27" t="s">
        <v>92</v>
      </c>
      <c r="I151">
        <v>1.05</v>
      </c>
    </row>
    <row r="152" spans="1:9" x14ac:dyDescent="0.2">
      <c r="A152" s="27" t="s">
        <v>59</v>
      </c>
      <c r="B152" s="27" t="s">
        <v>147</v>
      </c>
      <c r="C152">
        <v>100</v>
      </c>
      <c r="D152">
        <v>1.7</v>
      </c>
      <c r="E152">
        <v>1.7</v>
      </c>
      <c r="F152">
        <v>1.35</v>
      </c>
      <c r="G152">
        <v>1.25</v>
      </c>
      <c r="H152" s="27" t="s">
        <v>92</v>
      </c>
      <c r="I152">
        <v>1.05</v>
      </c>
    </row>
    <row r="153" spans="1:9" x14ac:dyDescent="0.2">
      <c r="A153" s="27" t="s">
        <v>59</v>
      </c>
      <c r="B153" s="27" t="s">
        <v>148</v>
      </c>
      <c r="C153">
        <v>100</v>
      </c>
      <c r="D153">
        <v>1.7</v>
      </c>
      <c r="E153">
        <v>1.7</v>
      </c>
      <c r="F153">
        <v>1.35</v>
      </c>
      <c r="G153">
        <v>1.25</v>
      </c>
      <c r="H153" s="27" t="s">
        <v>92</v>
      </c>
      <c r="I153">
        <v>1.05</v>
      </c>
    </row>
    <row r="154" spans="1:9" x14ac:dyDescent="0.2">
      <c r="A154" s="27" t="s">
        <v>59</v>
      </c>
      <c r="B154" s="27" t="s">
        <v>149</v>
      </c>
      <c r="C154">
        <v>100</v>
      </c>
      <c r="D154">
        <v>1.7</v>
      </c>
      <c r="E154">
        <v>1.7</v>
      </c>
      <c r="F154">
        <v>1.35</v>
      </c>
      <c r="G154">
        <v>1.25</v>
      </c>
      <c r="H154" s="27" t="s">
        <v>92</v>
      </c>
      <c r="I154">
        <v>1.05</v>
      </c>
    </row>
    <row r="155" spans="1:9" x14ac:dyDescent="0.2">
      <c r="A155" s="27" t="s">
        <v>59</v>
      </c>
      <c r="B155" s="27" t="s">
        <v>150</v>
      </c>
      <c r="C155">
        <v>100</v>
      </c>
      <c r="D155">
        <v>1.7</v>
      </c>
      <c r="E155">
        <v>1.7</v>
      </c>
      <c r="F155">
        <v>1.35</v>
      </c>
      <c r="G155">
        <v>1.25</v>
      </c>
      <c r="H155" s="27" t="s">
        <v>92</v>
      </c>
      <c r="I155">
        <v>1.05</v>
      </c>
    </row>
    <row r="156" spans="1:9" x14ac:dyDescent="0.2">
      <c r="A156" s="27" t="s">
        <v>59</v>
      </c>
      <c r="B156" s="27" t="s">
        <v>151</v>
      </c>
      <c r="C156">
        <v>100</v>
      </c>
      <c r="D156">
        <v>1.7</v>
      </c>
      <c r="E156">
        <v>1.7</v>
      </c>
      <c r="F156">
        <v>1.35</v>
      </c>
      <c r="G156">
        <v>1.25</v>
      </c>
      <c r="H156" s="27" t="s">
        <v>92</v>
      </c>
      <c r="I156">
        <v>1.05</v>
      </c>
    </row>
    <row r="157" spans="1:9" x14ac:dyDescent="0.2">
      <c r="A157" s="27" t="s">
        <v>59</v>
      </c>
      <c r="B157" s="27" t="s">
        <v>152</v>
      </c>
      <c r="C157">
        <v>100</v>
      </c>
      <c r="D157">
        <v>1.1499999999999999</v>
      </c>
      <c r="E157">
        <v>1.1499999999999999</v>
      </c>
      <c r="F157">
        <v>1.1499999999999999</v>
      </c>
      <c r="G157">
        <v>1.05</v>
      </c>
      <c r="H157" s="27" t="s">
        <v>74</v>
      </c>
      <c r="I157">
        <v>0.85</v>
      </c>
    </row>
    <row r="158" spans="1:9" x14ac:dyDescent="0.2">
      <c r="A158" s="27" t="s">
        <v>59</v>
      </c>
      <c r="B158" s="27" t="s">
        <v>153</v>
      </c>
      <c r="C158">
        <v>100</v>
      </c>
      <c r="D158">
        <v>1.1499999999999999</v>
      </c>
      <c r="E158">
        <v>1.1499999999999999</v>
      </c>
      <c r="F158">
        <v>1.1499999999999999</v>
      </c>
      <c r="G158">
        <v>1.05</v>
      </c>
      <c r="H158" s="27" t="s">
        <v>74</v>
      </c>
      <c r="I158">
        <v>0.85</v>
      </c>
    </row>
    <row r="159" spans="1:9" x14ac:dyDescent="0.2">
      <c r="A159" s="27" t="s">
        <v>59</v>
      </c>
      <c r="B159" s="27" t="s">
        <v>154</v>
      </c>
      <c r="C159">
        <v>100</v>
      </c>
      <c r="D159">
        <v>1.1499999999999999</v>
      </c>
      <c r="E159">
        <v>1.1499999999999999</v>
      </c>
      <c r="F159">
        <v>1.1499999999999999</v>
      </c>
      <c r="G159">
        <v>1.05</v>
      </c>
      <c r="H159" s="27" t="s">
        <v>74</v>
      </c>
      <c r="I159">
        <v>0.85</v>
      </c>
    </row>
    <row r="160" spans="1:9" x14ac:dyDescent="0.2">
      <c r="A160" s="27" t="s">
        <v>59</v>
      </c>
      <c r="B160" s="27" t="s">
        <v>155</v>
      </c>
      <c r="C160">
        <v>100</v>
      </c>
      <c r="D160">
        <v>1.1499999999999999</v>
      </c>
      <c r="E160">
        <v>1.1499999999999999</v>
      </c>
      <c r="F160">
        <v>1.1499999999999999</v>
      </c>
      <c r="G160">
        <v>1.05</v>
      </c>
      <c r="H160" s="27" t="s">
        <v>74</v>
      </c>
      <c r="I160">
        <v>0.85</v>
      </c>
    </row>
    <row r="161" spans="1:9" x14ac:dyDescent="0.2">
      <c r="A161" s="27" t="s">
        <v>59</v>
      </c>
      <c r="B161" s="27" t="s">
        <v>156</v>
      </c>
      <c r="C161">
        <v>100</v>
      </c>
      <c r="D161">
        <v>1.1499999999999999</v>
      </c>
      <c r="E161">
        <v>1.1499999999999999</v>
      </c>
      <c r="F161">
        <v>1.1499999999999999</v>
      </c>
      <c r="G161">
        <v>1.05</v>
      </c>
      <c r="H161" s="27" t="s">
        <v>74</v>
      </c>
      <c r="I161">
        <v>0.85</v>
      </c>
    </row>
    <row r="162" spans="1:9" x14ac:dyDescent="0.2">
      <c r="A162" s="27" t="s">
        <v>59</v>
      </c>
      <c r="B162" s="27" t="s">
        <v>158</v>
      </c>
      <c r="C162">
        <v>100</v>
      </c>
      <c r="D162">
        <v>1.1499999999999999</v>
      </c>
      <c r="E162">
        <v>1.1499999999999999</v>
      </c>
      <c r="F162">
        <v>1.1499999999999999</v>
      </c>
      <c r="G162">
        <v>1.05</v>
      </c>
      <c r="H162" s="27" t="s">
        <v>74</v>
      </c>
      <c r="I162">
        <v>0.85</v>
      </c>
    </row>
    <row r="163" spans="1:9" x14ac:dyDescent="0.2">
      <c r="A163" s="27" t="s">
        <v>59</v>
      </c>
      <c r="B163" s="27" t="s">
        <v>159</v>
      </c>
      <c r="C163">
        <v>100</v>
      </c>
      <c r="D163">
        <v>1.1499999999999999</v>
      </c>
      <c r="E163">
        <v>1.1499999999999999</v>
      </c>
      <c r="F163">
        <v>1.1499999999999999</v>
      </c>
      <c r="G163">
        <v>1.05</v>
      </c>
      <c r="H163" s="27" t="s">
        <v>74</v>
      </c>
      <c r="I163">
        <v>0.85</v>
      </c>
    </row>
    <row r="164" spans="1:9" x14ac:dyDescent="0.2">
      <c r="A164" s="27" t="s">
        <v>59</v>
      </c>
      <c r="B164" s="27" t="s">
        <v>160</v>
      </c>
      <c r="C164">
        <v>100</v>
      </c>
      <c r="D164">
        <v>1.1499999999999999</v>
      </c>
      <c r="E164">
        <v>1.1499999999999999</v>
      </c>
      <c r="F164">
        <v>1.1499999999999999</v>
      </c>
      <c r="G164">
        <v>1.05</v>
      </c>
      <c r="H164" s="27" t="s">
        <v>74</v>
      </c>
      <c r="I164">
        <v>0.85</v>
      </c>
    </row>
    <row r="165" spans="1:9" x14ac:dyDescent="0.2">
      <c r="A165" s="27" t="s">
        <v>59</v>
      </c>
      <c r="B165" s="27" t="s">
        <v>161</v>
      </c>
      <c r="C165">
        <v>100</v>
      </c>
      <c r="D165">
        <v>1.1499999999999999</v>
      </c>
      <c r="E165">
        <v>1.1499999999999999</v>
      </c>
      <c r="F165">
        <v>1.1499999999999999</v>
      </c>
      <c r="G165">
        <v>1.05</v>
      </c>
      <c r="H165" s="27" t="s">
        <v>74</v>
      </c>
      <c r="I165">
        <v>0.85</v>
      </c>
    </row>
    <row r="166" spans="1:9" x14ac:dyDescent="0.2">
      <c r="A166" s="27" t="s">
        <v>59</v>
      </c>
      <c r="B166" s="27" t="s">
        <v>162</v>
      </c>
      <c r="C166">
        <v>100</v>
      </c>
      <c r="D166">
        <v>1.1499999999999999</v>
      </c>
      <c r="E166">
        <v>1.1499999999999999</v>
      </c>
      <c r="F166">
        <v>1.1499999999999999</v>
      </c>
      <c r="G166">
        <v>1.05</v>
      </c>
      <c r="H166" s="27" t="s">
        <v>74</v>
      </c>
      <c r="I166">
        <v>0.85</v>
      </c>
    </row>
    <row r="167" spans="1:9" x14ac:dyDescent="0.2">
      <c r="A167" s="27" t="s">
        <v>59</v>
      </c>
      <c r="B167" s="27" t="s">
        <v>163</v>
      </c>
      <c r="C167">
        <v>100</v>
      </c>
      <c r="D167">
        <v>1.1499999999999999</v>
      </c>
      <c r="E167">
        <v>1.1499999999999999</v>
      </c>
      <c r="F167">
        <v>1.1499999999999999</v>
      </c>
      <c r="G167">
        <v>1.05</v>
      </c>
      <c r="H167" s="27" t="s">
        <v>74</v>
      </c>
      <c r="I167">
        <v>0.85</v>
      </c>
    </row>
    <row r="168" spans="1:9" x14ac:dyDescent="0.2">
      <c r="A168" s="27" t="s">
        <v>59</v>
      </c>
      <c r="B168" s="27" t="s">
        <v>157</v>
      </c>
      <c r="C168">
        <v>100</v>
      </c>
      <c r="D168">
        <v>1.1499999999999999</v>
      </c>
      <c r="E168">
        <v>1.1499999999999999</v>
      </c>
      <c r="F168">
        <v>1.1499999999999999</v>
      </c>
      <c r="G168">
        <v>1.05</v>
      </c>
      <c r="H168" s="27" t="s">
        <v>74</v>
      </c>
      <c r="I168">
        <v>0.85</v>
      </c>
    </row>
    <row r="169" spans="1:9" x14ac:dyDescent="0.2">
      <c r="A169" s="27" t="s">
        <v>59</v>
      </c>
      <c r="B169" s="27" t="s">
        <v>164</v>
      </c>
      <c r="C169">
        <v>100</v>
      </c>
      <c r="D169">
        <v>4.5</v>
      </c>
      <c r="E169">
        <v>3.8</v>
      </c>
      <c r="F169">
        <v>2.35</v>
      </c>
      <c r="G169">
        <v>2.25</v>
      </c>
      <c r="H169" s="27" t="s">
        <v>98</v>
      </c>
      <c r="I169">
        <v>2.0499999999999998</v>
      </c>
    </row>
    <row r="170" spans="1:9" x14ac:dyDescent="0.2">
      <c r="A170" s="27" t="s">
        <v>59</v>
      </c>
      <c r="B170" s="27" t="s">
        <v>165</v>
      </c>
      <c r="C170">
        <v>100</v>
      </c>
      <c r="D170">
        <v>4.5</v>
      </c>
      <c r="E170">
        <v>3.8</v>
      </c>
      <c r="F170">
        <v>2.35</v>
      </c>
      <c r="G170">
        <v>2.25</v>
      </c>
      <c r="H170" s="27" t="s">
        <v>98</v>
      </c>
      <c r="I170">
        <v>2.0499999999999998</v>
      </c>
    </row>
    <row r="171" spans="1:9" x14ac:dyDescent="0.2">
      <c r="A171" s="27" t="s">
        <v>59</v>
      </c>
      <c r="B171" s="27" t="s">
        <v>54</v>
      </c>
      <c r="C171">
        <v>100</v>
      </c>
      <c r="D171">
        <v>4.5</v>
      </c>
      <c r="E171">
        <v>3.8</v>
      </c>
      <c r="F171">
        <v>2.35</v>
      </c>
      <c r="G171">
        <v>2.25</v>
      </c>
      <c r="H171" s="27" t="s">
        <v>98</v>
      </c>
      <c r="I171">
        <v>2.0499999999999998</v>
      </c>
    </row>
    <row r="172" spans="1:9" x14ac:dyDescent="0.2">
      <c r="A172" s="27" t="s">
        <v>59</v>
      </c>
      <c r="B172" s="27" t="s">
        <v>166</v>
      </c>
      <c r="C172">
        <v>100</v>
      </c>
      <c r="D172">
        <v>4.5</v>
      </c>
      <c r="E172">
        <v>3.8</v>
      </c>
      <c r="F172">
        <v>2.25</v>
      </c>
      <c r="G172">
        <v>2.15</v>
      </c>
      <c r="H172" s="27" t="s">
        <v>99</v>
      </c>
      <c r="I172">
        <v>1.85</v>
      </c>
    </row>
    <row r="173" spans="1:9" x14ac:dyDescent="0.2">
      <c r="A173" s="27" t="s">
        <v>59</v>
      </c>
      <c r="B173" s="27" t="s">
        <v>167</v>
      </c>
      <c r="C173">
        <v>100</v>
      </c>
      <c r="D173">
        <v>4.5</v>
      </c>
      <c r="E173">
        <v>3.8</v>
      </c>
      <c r="F173">
        <v>2.25</v>
      </c>
      <c r="G173">
        <v>2.15</v>
      </c>
      <c r="H173" s="27" t="s">
        <v>99</v>
      </c>
      <c r="I173">
        <v>1.85</v>
      </c>
    </row>
    <row r="174" spans="1:9" x14ac:dyDescent="0.2">
      <c r="A174" s="27" t="s">
        <v>59</v>
      </c>
      <c r="B174" s="27" t="s">
        <v>52</v>
      </c>
      <c r="C174">
        <v>100</v>
      </c>
      <c r="D174">
        <v>4.5</v>
      </c>
      <c r="E174">
        <v>3.8</v>
      </c>
      <c r="F174">
        <v>1.55</v>
      </c>
      <c r="G174">
        <v>1.45</v>
      </c>
      <c r="H174" s="27" t="s">
        <v>107</v>
      </c>
      <c r="I174">
        <v>1.25</v>
      </c>
    </row>
    <row r="175" spans="1:9" x14ac:dyDescent="0.2">
      <c r="A175" s="27" t="s">
        <v>59</v>
      </c>
      <c r="B175" s="27" t="s">
        <v>51</v>
      </c>
      <c r="C175">
        <v>100</v>
      </c>
      <c r="D175">
        <v>4.5</v>
      </c>
      <c r="E175">
        <v>3.8</v>
      </c>
      <c r="F175">
        <v>1.6</v>
      </c>
      <c r="G175">
        <v>1.5</v>
      </c>
      <c r="H175" s="27" t="s">
        <v>80</v>
      </c>
      <c r="I175">
        <v>1.3</v>
      </c>
    </row>
    <row r="176" spans="1:9" x14ac:dyDescent="0.2">
      <c r="A176" s="27" t="s">
        <v>60</v>
      </c>
      <c r="B176" s="27" t="s">
        <v>47</v>
      </c>
      <c r="C176">
        <v>100</v>
      </c>
      <c r="D176">
        <v>0.9</v>
      </c>
      <c r="E176">
        <v>0.9</v>
      </c>
      <c r="F176">
        <v>0.9</v>
      </c>
      <c r="G176">
        <v>0.85</v>
      </c>
      <c r="H176" s="27" t="s">
        <v>69</v>
      </c>
      <c r="I176">
        <v>0.7</v>
      </c>
    </row>
    <row r="177" spans="1:9" x14ac:dyDescent="0.2">
      <c r="A177" s="27" t="s">
        <v>60</v>
      </c>
      <c r="B177" s="28" t="s">
        <v>48</v>
      </c>
      <c r="C177">
        <v>100</v>
      </c>
      <c r="D177">
        <v>0.95</v>
      </c>
      <c r="E177">
        <v>0.95</v>
      </c>
      <c r="F177">
        <v>0.95</v>
      </c>
      <c r="G177">
        <v>0.9</v>
      </c>
      <c r="H177" s="27" t="s">
        <v>68</v>
      </c>
      <c r="I177">
        <v>0.75</v>
      </c>
    </row>
    <row r="178" spans="1:9" x14ac:dyDescent="0.2">
      <c r="A178" s="27" t="s">
        <v>60</v>
      </c>
      <c r="B178" s="27" t="s">
        <v>139</v>
      </c>
      <c r="C178">
        <v>100</v>
      </c>
      <c r="D178">
        <v>4.5</v>
      </c>
      <c r="E178">
        <v>3.8</v>
      </c>
      <c r="F178">
        <v>1.45</v>
      </c>
      <c r="G178">
        <v>1.35</v>
      </c>
      <c r="H178" s="27" t="s">
        <v>110</v>
      </c>
      <c r="I178">
        <v>1.1499999999999999</v>
      </c>
    </row>
    <row r="179" spans="1:9" x14ac:dyDescent="0.2">
      <c r="A179" s="27" t="s">
        <v>60</v>
      </c>
      <c r="B179" s="27" t="s">
        <v>140</v>
      </c>
      <c r="C179">
        <v>100</v>
      </c>
      <c r="D179">
        <v>4.5</v>
      </c>
      <c r="E179">
        <v>3.8</v>
      </c>
      <c r="F179">
        <v>1.45</v>
      </c>
      <c r="G179">
        <v>1.35</v>
      </c>
      <c r="H179" s="27" t="s">
        <v>110</v>
      </c>
      <c r="I179">
        <v>1.1499999999999999</v>
      </c>
    </row>
    <row r="180" spans="1:9" x14ac:dyDescent="0.2">
      <c r="A180" s="27" t="s">
        <v>60</v>
      </c>
      <c r="B180" s="27" t="s">
        <v>141</v>
      </c>
      <c r="C180">
        <v>100</v>
      </c>
      <c r="D180">
        <v>1.2</v>
      </c>
      <c r="E180">
        <v>1.2</v>
      </c>
      <c r="F180">
        <v>1.1000000000000001</v>
      </c>
      <c r="G180">
        <v>1.05</v>
      </c>
      <c r="H180" s="27" t="s">
        <v>74</v>
      </c>
      <c r="I180">
        <v>0.85</v>
      </c>
    </row>
    <row r="181" spans="1:9" x14ac:dyDescent="0.2">
      <c r="A181" s="27" t="s">
        <v>60</v>
      </c>
      <c r="B181" s="27" t="s">
        <v>142</v>
      </c>
      <c r="C181">
        <v>100</v>
      </c>
      <c r="D181">
        <v>1.2</v>
      </c>
      <c r="E181">
        <v>1.2</v>
      </c>
      <c r="F181">
        <v>1.1000000000000001</v>
      </c>
      <c r="G181">
        <v>1.05</v>
      </c>
      <c r="H181" s="27" t="s">
        <v>74</v>
      </c>
      <c r="I181">
        <v>0.85</v>
      </c>
    </row>
    <row r="182" spans="1:9" x14ac:dyDescent="0.2">
      <c r="A182" s="27" t="s">
        <v>60</v>
      </c>
      <c r="B182" s="27" t="s">
        <v>143</v>
      </c>
      <c r="C182">
        <v>100</v>
      </c>
      <c r="D182">
        <v>1.2</v>
      </c>
      <c r="E182">
        <v>1.2</v>
      </c>
      <c r="F182">
        <v>1.1000000000000001</v>
      </c>
      <c r="G182">
        <v>1.05</v>
      </c>
      <c r="H182" s="27" t="s">
        <v>74</v>
      </c>
      <c r="I182">
        <v>0.85</v>
      </c>
    </row>
    <row r="183" spans="1:9" x14ac:dyDescent="0.2">
      <c r="A183" s="27" t="s">
        <v>60</v>
      </c>
      <c r="B183" s="27" t="s">
        <v>144</v>
      </c>
      <c r="C183">
        <v>100</v>
      </c>
      <c r="D183">
        <v>1.2</v>
      </c>
      <c r="E183">
        <v>1.2</v>
      </c>
      <c r="F183">
        <v>1.1000000000000001</v>
      </c>
      <c r="G183">
        <v>1.05</v>
      </c>
      <c r="H183" s="27" t="s">
        <v>74</v>
      </c>
      <c r="I183">
        <v>0.85</v>
      </c>
    </row>
    <row r="184" spans="1:9" x14ac:dyDescent="0.2">
      <c r="A184" s="27" t="s">
        <v>60</v>
      </c>
      <c r="B184" s="27" t="s">
        <v>145</v>
      </c>
      <c r="C184">
        <v>100</v>
      </c>
      <c r="D184">
        <v>1.2</v>
      </c>
      <c r="E184">
        <v>1.2</v>
      </c>
      <c r="F184">
        <v>1.1000000000000001</v>
      </c>
      <c r="G184">
        <v>1.05</v>
      </c>
      <c r="H184" s="27" t="s">
        <v>74</v>
      </c>
      <c r="I184">
        <v>0.85</v>
      </c>
    </row>
    <row r="185" spans="1:9" x14ac:dyDescent="0.2">
      <c r="A185" s="27" t="s">
        <v>60</v>
      </c>
      <c r="B185" s="27" t="s">
        <v>146</v>
      </c>
      <c r="C185">
        <v>100</v>
      </c>
      <c r="D185">
        <v>1.2</v>
      </c>
      <c r="E185">
        <v>1.2</v>
      </c>
      <c r="F185">
        <v>1.1000000000000001</v>
      </c>
      <c r="G185">
        <v>1.05</v>
      </c>
      <c r="H185" s="27" t="s">
        <v>74</v>
      </c>
      <c r="I185">
        <v>0.85</v>
      </c>
    </row>
    <row r="186" spans="1:9" x14ac:dyDescent="0.2">
      <c r="A186" s="27" t="s">
        <v>60</v>
      </c>
      <c r="B186" s="27" t="s">
        <v>147</v>
      </c>
      <c r="C186">
        <v>100</v>
      </c>
      <c r="D186">
        <v>1.2</v>
      </c>
      <c r="E186">
        <v>1.2</v>
      </c>
      <c r="F186">
        <v>1.1000000000000001</v>
      </c>
      <c r="G186">
        <v>1.05</v>
      </c>
      <c r="H186" s="27" t="s">
        <v>74</v>
      </c>
      <c r="I186">
        <v>0.85</v>
      </c>
    </row>
    <row r="187" spans="1:9" x14ac:dyDescent="0.2">
      <c r="A187" s="27" t="s">
        <v>60</v>
      </c>
      <c r="B187" s="27" t="s">
        <v>148</v>
      </c>
      <c r="C187">
        <v>100</v>
      </c>
      <c r="D187">
        <v>1.2</v>
      </c>
      <c r="E187">
        <v>1.2</v>
      </c>
      <c r="F187">
        <v>1.1000000000000001</v>
      </c>
      <c r="G187">
        <v>1.05</v>
      </c>
      <c r="H187" s="27" t="s">
        <v>74</v>
      </c>
      <c r="I187">
        <v>0.85</v>
      </c>
    </row>
    <row r="188" spans="1:9" x14ac:dyDescent="0.2">
      <c r="A188" s="27" t="s">
        <v>60</v>
      </c>
      <c r="B188" s="27" t="s">
        <v>149</v>
      </c>
      <c r="C188">
        <v>100</v>
      </c>
      <c r="D188">
        <v>1.2</v>
      </c>
      <c r="E188">
        <v>1.2</v>
      </c>
      <c r="F188">
        <v>1.1000000000000001</v>
      </c>
      <c r="G188">
        <v>1.05</v>
      </c>
      <c r="H188" s="27" t="s">
        <v>74</v>
      </c>
      <c r="I188">
        <v>0.85</v>
      </c>
    </row>
    <row r="189" spans="1:9" x14ac:dyDescent="0.2">
      <c r="A189" s="27" t="s">
        <v>60</v>
      </c>
      <c r="B189" s="27" t="s">
        <v>150</v>
      </c>
      <c r="C189">
        <v>100</v>
      </c>
      <c r="D189">
        <v>1.2</v>
      </c>
      <c r="E189">
        <v>1.2</v>
      </c>
      <c r="F189">
        <v>1.1000000000000001</v>
      </c>
      <c r="G189">
        <v>1.05</v>
      </c>
      <c r="H189" s="27" t="s">
        <v>74</v>
      </c>
      <c r="I189">
        <v>0.85</v>
      </c>
    </row>
    <row r="190" spans="1:9" x14ac:dyDescent="0.2">
      <c r="A190" s="27" t="s">
        <v>60</v>
      </c>
      <c r="B190" s="27" t="s">
        <v>151</v>
      </c>
      <c r="C190">
        <v>100</v>
      </c>
      <c r="D190">
        <v>1.2</v>
      </c>
      <c r="E190">
        <v>1.2</v>
      </c>
      <c r="F190">
        <v>1.1000000000000001</v>
      </c>
      <c r="G190">
        <v>1.05</v>
      </c>
      <c r="H190" s="27" t="s">
        <v>74</v>
      </c>
      <c r="I190">
        <v>0.85</v>
      </c>
    </row>
    <row r="191" spans="1:9" x14ac:dyDescent="0.2">
      <c r="A191" s="27" t="s">
        <v>60</v>
      </c>
      <c r="B191" s="27" t="s">
        <v>152</v>
      </c>
      <c r="C191">
        <v>100</v>
      </c>
      <c r="D191">
        <v>1.2</v>
      </c>
      <c r="E191">
        <v>1.2</v>
      </c>
      <c r="F191">
        <v>1.05</v>
      </c>
      <c r="G191">
        <v>0.95</v>
      </c>
      <c r="H191" s="27" t="s">
        <v>68</v>
      </c>
      <c r="I191">
        <v>0.7</v>
      </c>
    </row>
    <row r="192" spans="1:9" x14ac:dyDescent="0.2">
      <c r="A192" s="27" t="s">
        <v>60</v>
      </c>
      <c r="B192" s="27" t="s">
        <v>153</v>
      </c>
      <c r="C192">
        <v>100</v>
      </c>
      <c r="D192">
        <v>1.2</v>
      </c>
      <c r="E192">
        <v>1.2</v>
      </c>
      <c r="F192">
        <v>1.05</v>
      </c>
      <c r="G192">
        <v>0.95</v>
      </c>
      <c r="H192" s="27" t="s">
        <v>68</v>
      </c>
      <c r="I192">
        <v>0.7</v>
      </c>
    </row>
    <row r="193" spans="1:9" x14ac:dyDescent="0.2">
      <c r="A193" s="27" t="s">
        <v>60</v>
      </c>
      <c r="B193" s="27" t="s">
        <v>154</v>
      </c>
      <c r="C193">
        <v>100</v>
      </c>
      <c r="D193">
        <v>1.2</v>
      </c>
      <c r="E193">
        <v>1.2</v>
      </c>
      <c r="F193">
        <v>1.05</v>
      </c>
      <c r="G193">
        <v>0.95</v>
      </c>
      <c r="H193" s="27" t="s">
        <v>68</v>
      </c>
      <c r="I193">
        <v>0.7</v>
      </c>
    </row>
    <row r="194" spans="1:9" x14ac:dyDescent="0.2">
      <c r="A194" s="27" t="s">
        <v>60</v>
      </c>
      <c r="B194" s="27" t="s">
        <v>155</v>
      </c>
      <c r="C194">
        <v>100</v>
      </c>
      <c r="D194">
        <v>1.2</v>
      </c>
      <c r="E194">
        <v>1.2</v>
      </c>
      <c r="F194">
        <v>1.05</v>
      </c>
      <c r="G194">
        <v>0.95</v>
      </c>
      <c r="H194" s="27" t="s">
        <v>68</v>
      </c>
      <c r="I194">
        <v>0.7</v>
      </c>
    </row>
    <row r="195" spans="1:9" x14ac:dyDescent="0.2">
      <c r="A195" s="27" t="s">
        <v>60</v>
      </c>
      <c r="B195" s="27" t="s">
        <v>156</v>
      </c>
      <c r="C195">
        <v>100</v>
      </c>
      <c r="D195">
        <v>1.2</v>
      </c>
      <c r="E195">
        <v>1.2</v>
      </c>
      <c r="F195">
        <v>1.05</v>
      </c>
      <c r="G195">
        <v>0.95</v>
      </c>
      <c r="H195" s="27" t="s">
        <v>68</v>
      </c>
      <c r="I195">
        <v>0.7</v>
      </c>
    </row>
    <row r="196" spans="1:9" x14ac:dyDescent="0.2">
      <c r="A196" s="27" t="s">
        <v>60</v>
      </c>
      <c r="B196" s="27" t="s">
        <v>158</v>
      </c>
      <c r="C196">
        <v>100</v>
      </c>
      <c r="D196">
        <v>1.2</v>
      </c>
      <c r="E196">
        <v>1.2</v>
      </c>
      <c r="F196">
        <v>1.05</v>
      </c>
      <c r="G196">
        <v>0.95</v>
      </c>
      <c r="H196" s="27" t="s">
        <v>68</v>
      </c>
      <c r="I196">
        <v>0.7</v>
      </c>
    </row>
    <row r="197" spans="1:9" x14ac:dyDescent="0.2">
      <c r="A197" s="27" t="s">
        <v>60</v>
      </c>
      <c r="B197" s="27" t="s">
        <v>159</v>
      </c>
      <c r="C197">
        <v>100</v>
      </c>
      <c r="D197">
        <v>1.2</v>
      </c>
      <c r="E197">
        <v>1.2</v>
      </c>
      <c r="F197">
        <v>1.05</v>
      </c>
      <c r="G197">
        <v>0.95</v>
      </c>
      <c r="H197" s="27" t="s">
        <v>68</v>
      </c>
      <c r="I197">
        <v>0.7</v>
      </c>
    </row>
    <row r="198" spans="1:9" x14ac:dyDescent="0.2">
      <c r="A198" s="27" t="s">
        <v>60</v>
      </c>
      <c r="B198" s="27" t="s">
        <v>160</v>
      </c>
      <c r="C198">
        <v>100</v>
      </c>
      <c r="D198">
        <v>1.2</v>
      </c>
      <c r="E198">
        <v>1.2</v>
      </c>
      <c r="F198">
        <v>1.05</v>
      </c>
      <c r="G198">
        <v>0.95</v>
      </c>
      <c r="H198" s="27" t="s">
        <v>68</v>
      </c>
      <c r="I198">
        <v>0.7</v>
      </c>
    </row>
    <row r="199" spans="1:9" x14ac:dyDescent="0.2">
      <c r="A199" s="27" t="s">
        <v>60</v>
      </c>
      <c r="B199" s="27" t="s">
        <v>161</v>
      </c>
      <c r="C199">
        <v>100</v>
      </c>
      <c r="D199">
        <v>1.2</v>
      </c>
      <c r="E199">
        <v>1.2</v>
      </c>
      <c r="F199">
        <v>1.05</v>
      </c>
      <c r="G199">
        <v>0.95</v>
      </c>
      <c r="H199" s="27" t="s">
        <v>68</v>
      </c>
      <c r="I199">
        <v>0.7</v>
      </c>
    </row>
    <row r="200" spans="1:9" x14ac:dyDescent="0.2">
      <c r="A200" s="27" t="s">
        <v>60</v>
      </c>
      <c r="B200" s="27" t="s">
        <v>162</v>
      </c>
      <c r="C200">
        <v>100</v>
      </c>
      <c r="D200">
        <v>1.2</v>
      </c>
      <c r="E200">
        <v>1.2</v>
      </c>
      <c r="F200">
        <v>1.05</v>
      </c>
      <c r="G200">
        <v>0.95</v>
      </c>
      <c r="H200" s="27" t="s">
        <v>68</v>
      </c>
      <c r="I200">
        <v>0.7</v>
      </c>
    </row>
    <row r="201" spans="1:9" x14ac:dyDescent="0.2">
      <c r="A201" s="27" t="s">
        <v>60</v>
      </c>
      <c r="B201" s="27" t="s">
        <v>163</v>
      </c>
      <c r="C201">
        <v>100</v>
      </c>
      <c r="D201">
        <v>1.2</v>
      </c>
      <c r="E201">
        <v>1.2</v>
      </c>
      <c r="F201">
        <v>1.05</v>
      </c>
      <c r="G201">
        <v>0.95</v>
      </c>
      <c r="H201" s="27" t="s">
        <v>68</v>
      </c>
      <c r="I201">
        <v>0.7</v>
      </c>
    </row>
    <row r="202" spans="1:9" x14ac:dyDescent="0.2">
      <c r="A202" s="27" t="s">
        <v>60</v>
      </c>
      <c r="B202" s="27" t="s">
        <v>157</v>
      </c>
      <c r="C202">
        <v>100</v>
      </c>
      <c r="D202">
        <v>1.2</v>
      </c>
      <c r="E202">
        <v>1.2</v>
      </c>
      <c r="F202">
        <v>1.05</v>
      </c>
      <c r="G202">
        <v>0.95</v>
      </c>
      <c r="H202" s="27" t="s">
        <v>68</v>
      </c>
      <c r="I202">
        <v>0.7</v>
      </c>
    </row>
    <row r="203" spans="1:9" x14ac:dyDescent="0.2">
      <c r="A203" s="27" t="s">
        <v>60</v>
      </c>
      <c r="B203" s="27" t="s">
        <v>168</v>
      </c>
      <c r="C203">
        <v>100</v>
      </c>
      <c r="D203">
        <v>1.2</v>
      </c>
      <c r="E203">
        <v>1.2</v>
      </c>
      <c r="F203">
        <v>1.05</v>
      </c>
      <c r="G203">
        <v>0.95</v>
      </c>
      <c r="H203" s="27" t="s">
        <v>68</v>
      </c>
      <c r="I203">
        <v>0.7</v>
      </c>
    </row>
    <row r="204" spans="1:9" x14ac:dyDescent="0.2">
      <c r="A204" s="27" t="s">
        <v>60</v>
      </c>
      <c r="B204" s="27" t="s">
        <v>164</v>
      </c>
      <c r="C204">
        <v>100</v>
      </c>
      <c r="D204">
        <v>4.5</v>
      </c>
      <c r="E204">
        <v>3.8</v>
      </c>
      <c r="F204">
        <v>1.95</v>
      </c>
      <c r="G204">
        <v>1.85</v>
      </c>
      <c r="H204" s="27" t="s">
        <v>102</v>
      </c>
      <c r="I204">
        <v>1.65</v>
      </c>
    </row>
    <row r="205" spans="1:9" x14ac:dyDescent="0.2">
      <c r="A205" s="27" t="s">
        <v>60</v>
      </c>
      <c r="B205" s="27" t="s">
        <v>165</v>
      </c>
      <c r="C205">
        <v>100</v>
      </c>
      <c r="D205">
        <v>4.5</v>
      </c>
      <c r="E205">
        <v>3.8</v>
      </c>
      <c r="F205">
        <v>1.95</v>
      </c>
      <c r="G205">
        <v>1.85</v>
      </c>
      <c r="H205" s="27" t="s">
        <v>102</v>
      </c>
      <c r="I205">
        <v>1.65</v>
      </c>
    </row>
    <row r="206" spans="1:9" x14ac:dyDescent="0.2">
      <c r="A206" s="27" t="s">
        <v>60</v>
      </c>
      <c r="B206" s="27" t="s">
        <v>54</v>
      </c>
      <c r="C206">
        <v>100</v>
      </c>
      <c r="D206">
        <v>4.5</v>
      </c>
      <c r="E206">
        <v>3.8</v>
      </c>
      <c r="F206">
        <v>1.95</v>
      </c>
      <c r="G206">
        <v>1.85</v>
      </c>
      <c r="H206" s="27" t="s">
        <v>102</v>
      </c>
      <c r="I206">
        <v>1.65</v>
      </c>
    </row>
    <row r="207" spans="1:9" x14ac:dyDescent="0.2">
      <c r="A207" s="27" t="s">
        <v>60</v>
      </c>
      <c r="B207" s="27" t="s">
        <v>52</v>
      </c>
      <c r="C207">
        <v>100</v>
      </c>
      <c r="D207">
        <v>4.5</v>
      </c>
      <c r="E207">
        <v>3.8</v>
      </c>
      <c r="F207">
        <v>1.4</v>
      </c>
      <c r="G207">
        <v>1.3</v>
      </c>
      <c r="H207" s="27" t="s">
        <v>82</v>
      </c>
      <c r="I207">
        <v>1.1000000000000001</v>
      </c>
    </row>
    <row r="208" spans="1:9" x14ac:dyDescent="0.2">
      <c r="A208" s="27" t="s">
        <v>60</v>
      </c>
      <c r="B208" s="27" t="s">
        <v>51</v>
      </c>
      <c r="C208">
        <v>100</v>
      </c>
      <c r="D208">
        <v>4.5</v>
      </c>
      <c r="E208">
        <v>3.8</v>
      </c>
      <c r="F208">
        <v>1.45</v>
      </c>
      <c r="G208">
        <v>1.35</v>
      </c>
      <c r="H208" s="27" t="s">
        <v>110</v>
      </c>
      <c r="I208">
        <v>1.1499999999999999</v>
      </c>
    </row>
    <row r="209" spans="1:9" x14ac:dyDescent="0.2">
      <c r="A209" s="27" t="s">
        <v>60</v>
      </c>
      <c r="B209" s="27" t="s">
        <v>166</v>
      </c>
      <c r="C209">
        <v>100</v>
      </c>
      <c r="D209">
        <v>4.5</v>
      </c>
      <c r="E209">
        <v>3.8</v>
      </c>
      <c r="F209">
        <v>1.85</v>
      </c>
      <c r="G209">
        <v>1.75</v>
      </c>
      <c r="H209" s="27" t="s">
        <v>103</v>
      </c>
      <c r="I209">
        <v>1.45</v>
      </c>
    </row>
    <row r="210" spans="1:9" x14ac:dyDescent="0.2">
      <c r="A210" s="27" t="s">
        <v>60</v>
      </c>
      <c r="B210" s="27" t="s">
        <v>167</v>
      </c>
      <c r="C210">
        <v>100</v>
      </c>
      <c r="D210">
        <v>4.5</v>
      </c>
      <c r="E210">
        <v>3.8</v>
      </c>
      <c r="F210">
        <v>1.85</v>
      </c>
      <c r="G210">
        <v>1.75</v>
      </c>
      <c r="H210" s="27" t="s">
        <v>103</v>
      </c>
      <c r="I210">
        <v>1.45</v>
      </c>
    </row>
    <row r="211" spans="1:9" x14ac:dyDescent="0.2">
      <c r="A211" s="27" t="s">
        <v>62</v>
      </c>
      <c r="B211" s="27" t="s">
        <v>47</v>
      </c>
      <c r="C211">
        <v>100</v>
      </c>
      <c r="D211">
        <v>0.95</v>
      </c>
      <c r="E211">
        <v>0.95</v>
      </c>
      <c r="F211">
        <v>0.95</v>
      </c>
      <c r="G211">
        <v>0.85</v>
      </c>
      <c r="H211" s="27" t="s">
        <v>70</v>
      </c>
      <c r="I211">
        <v>0.65</v>
      </c>
    </row>
    <row r="212" spans="1:9" x14ac:dyDescent="0.2">
      <c r="A212" s="27" t="s">
        <v>62</v>
      </c>
      <c r="B212" s="27" t="s">
        <v>48</v>
      </c>
      <c r="C212">
        <v>100</v>
      </c>
      <c r="D212">
        <v>0.85</v>
      </c>
      <c r="E212">
        <v>0.85</v>
      </c>
      <c r="F212">
        <v>0.85</v>
      </c>
      <c r="G212">
        <v>0.8</v>
      </c>
      <c r="H212" s="27" t="s">
        <v>70</v>
      </c>
      <c r="I212">
        <v>0.7</v>
      </c>
    </row>
    <row r="213" spans="1:9" x14ac:dyDescent="0.2">
      <c r="A213" s="27" t="s">
        <v>62</v>
      </c>
      <c r="B213" s="27" t="s">
        <v>139</v>
      </c>
      <c r="C213">
        <v>100</v>
      </c>
      <c r="D213">
        <v>4.5</v>
      </c>
      <c r="E213">
        <v>3.8</v>
      </c>
      <c r="F213">
        <v>1.5</v>
      </c>
      <c r="G213">
        <v>1.4</v>
      </c>
      <c r="H213" s="27" t="s">
        <v>81</v>
      </c>
      <c r="I213">
        <v>1.2</v>
      </c>
    </row>
    <row r="214" spans="1:9" x14ac:dyDescent="0.2">
      <c r="A214" s="27" t="s">
        <v>62</v>
      </c>
      <c r="B214" s="27" t="s">
        <v>140</v>
      </c>
      <c r="C214">
        <v>100</v>
      </c>
      <c r="D214">
        <v>4.5</v>
      </c>
      <c r="E214">
        <v>3.8</v>
      </c>
      <c r="F214">
        <v>1.5</v>
      </c>
      <c r="G214">
        <v>1.4</v>
      </c>
      <c r="H214" s="27" t="s">
        <v>81</v>
      </c>
      <c r="I214">
        <v>1.2</v>
      </c>
    </row>
    <row r="215" spans="1:9" x14ac:dyDescent="0.2">
      <c r="A215" s="27" t="s">
        <v>62</v>
      </c>
      <c r="B215" s="27" t="s">
        <v>141</v>
      </c>
      <c r="C215">
        <v>100</v>
      </c>
      <c r="D215">
        <v>1.05</v>
      </c>
      <c r="E215">
        <v>1.05</v>
      </c>
      <c r="F215">
        <v>1.05</v>
      </c>
      <c r="G215">
        <v>0.95</v>
      </c>
      <c r="H215" s="27" t="s">
        <v>68</v>
      </c>
      <c r="I215">
        <v>0.8</v>
      </c>
    </row>
    <row r="216" spans="1:9" x14ac:dyDescent="0.2">
      <c r="A216" s="27" t="s">
        <v>62</v>
      </c>
      <c r="B216" s="27" t="s">
        <v>142</v>
      </c>
      <c r="C216">
        <v>100</v>
      </c>
      <c r="D216">
        <v>1.05</v>
      </c>
      <c r="E216">
        <v>1.05</v>
      </c>
      <c r="F216">
        <v>1.05</v>
      </c>
      <c r="G216">
        <v>0.95</v>
      </c>
      <c r="H216" s="27" t="s">
        <v>68</v>
      </c>
      <c r="I216">
        <v>0.8</v>
      </c>
    </row>
    <row r="217" spans="1:9" x14ac:dyDescent="0.2">
      <c r="A217" s="27" t="s">
        <v>62</v>
      </c>
      <c r="B217" s="27" t="s">
        <v>143</v>
      </c>
      <c r="C217">
        <v>100</v>
      </c>
      <c r="D217">
        <v>1.05</v>
      </c>
      <c r="E217">
        <v>1.05</v>
      </c>
      <c r="F217">
        <v>1.05</v>
      </c>
      <c r="G217">
        <v>0.95</v>
      </c>
      <c r="H217" s="27" t="s">
        <v>68</v>
      </c>
      <c r="I217">
        <v>0.8</v>
      </c>
    </row>
    <row r="218" spans="1:9" x14ac:dyDescent="0.2">
      <c r="A218" s="27" t="s">
        <v>62</v>
      </c>
      <c r="B218" s="27" t="s">
        <v>144</v>
      </c>
      <c r="C218">
        <v>100</v>
      </c>
      <c r="D218">
        <v>1.05</v>
      </c>
      <c r="E218">
        <v>1.05</v>
      </c>
      <c r="F218">
        <v>1.05</v>
      </c>
      <c r="G218">
        <v>0.95</v>
      </c>
      <c r="H218" s="27" t="s">
        <v>68</v>
      </c>
      <c r="I218">
        <v>0.8</v>
      </c>
    </row>
    <row r="219" spans="1:9" x14ac:dyDescent="0.2">
      <c r="A219" s="27" t="s">
        <v>62</v>
      </c>
      <c r="B219" s="27" t="s">
        <v>145</v>
      </c>
      <c r="C219">
        <v>100</v>
      </c>
      <c r="D219">
        <v>1.05</v>
      </c>
      <c r="E219">
        <v>1.05</v>
      </c>
      <c r="F219">
        <v>1.05</v>
      </c>
      <c r="G219">
        <v>0.95</v>
      </c>
      <c r="H219" s="27" t="s">
        <v>68</v>
      </c>
      <c r="I219">
        <v>0.8</v>
      </c>
    </row>
    <row r="220" spans="1:9" x14ac:dyDescent="0.2">
      <c r="A220" s="27" t="s">
        <v>62</v>
      </c>
      <c r="B220" s="27" t="s">
        <v>146</v>
      </c>
      <c r="C220">
        <v>100</v>
      </c>
      <c r="D220">
        <v>1.05</v>
      </c>
      <c r="E220">
        <v>1.05</v>
      </c>
      <c r="F220">
        <v>1.05</v>
      </c>
      <c r="G220">
        <v>0.95</v>
      </c>
      <c r="H220" s="27" t="s">
        <v>68</v>
      </c>
      <c r="I220">
        <v>0.8</v>
      </c>
    </row>
    <row r="221" spans="1:9" x14ac:dyDescent="0.2">
      <c r="A221" s="27" t="s">
        <v>62</v>
      </c>
      <c r="B221" s="27" t="s">
        <v>147</v>
      </c>
      <c r="C221">
        <v>100</v>
      </c>
      <c r="D221">
        <v>1.05</v>
      </c>
      <c r="E221">
        <v>1.05</v>
      </c>
      <c r="F221">
        <v>1.05</v>
      </c>
      <c r="G221">
        <v>0.95</v>
      </c>
      <c r="H221" s="27" t="s">
        <v>68</v>
      </c>
      <c r="I221">
        <v>0.8</v>
      </c>
    </row>
    <row r="222" spans="1:9" x14ac:dyDescent="0.2">
      <c r="A222" s="27" t="s">
        <v>62</v>
      </c>
      <c r="B222" s="27" t="s">
        <v>148</v>
      </c>
      <c r="C222">
        <v>100</v>
      </c>
      <c r="D222">
        <v>1.05</v>
      </c>
      <c r="E222">
        <v>1.05</v>
      </c>
      <c r="F222">
        <v>1.05</v>
      </c>
      <c r="G222">
        <v>0.95</v>
      </c>
      <c r="H222" s="27" t="s">
        <v>68</v>
      </c>
      <c r="I222">
        <v>0.8</v>
      </c>
    </row>
    <row r="223" spans="1:9" x14ac:dyDescent="0.2">
      <c r="A223" s="27" t="s">
        <v>62</v>
      </c>
      <c r="B223" s="27" t="s">
        <v>149</v>
      </c>
      <c r="C223">
        <v>100</v>
      </c>
      <c r="D223">
        <v>1.05</v>
      </c>
      <c r="E223">
        <v>1.05</v>
      </c>
      <c r="F223">
        <v>1.05</v>
      </c>
      <c r="G223">
        <v>0.95</v>
      </c>
      <c r="H223" s="27" t="s">
        <v>68</v>
      </c>
      <c r="I223">
        <v>0.8</v>
      </c>
    </row>
    <row r="224" spans="1:9" x14ac:dyDescent="0.2">
      <c r="A224" s="27" t="s">
        <v>62</v>
      </c>
      <c r="B224" s="27" t="s">
        <v>150</v>
      </c>
      <c r="C224">
        <v>100</v>
      </c>
      <c r="D224">
        <v>1.05</v>
      </c>
      <c r="E224">
        <v>1.05</v>
      </c>
      <c r="F224">
        <v>1.05</v>
      </c>
      <c r="G224">
        <v>0.95</v>
      </c>
      <c r="H224" s="27" t="s">
        <v>68</v>
      </c>
      <c r="I224">
        <v>0.8</v>
      </c>
    </row>
    <row r="225" spans="1:9" x14ac:dyDescent="0.2">
      <c r="A225" s="27" t="s">
        <v>62</v>
      </c>
      <c r="B225" s="27" t="s">
        <v>151</v>
      </c>
      <c r="C225">
        <v>100</v>
      </c>
      <c r="D225">
        <v>1.05</v>
      </c>
      <c r="E225">
        <v>1.05</v>
      </c>
      <c r="F225">
        <v>1.05</v>
      </c>
      <c r="G225">
        <v>0.95</v>
      </c>
      <c r="H225" s="27" t="s">
        <v>68</v>
      </c>
      <c r="I225">
        <v>0.8</v>
      </c>
    </row>
    <row r="226" spans="1:9" x14ac:dyDescent="0.2">
      <c r="A226" s="27" t="s">
        <v>62</v>
      </c>
      <c r="B226" s="27" t="s">
        <v>152</v>
      </c>
      <c r="C226">
        <v>100</v>
      </c>
      <c r="D226">
        <v>1.05</v>
      </c>
      <c r="E226">
        <v>1.05</v>
      </c>
      <c r="F226">
        <v>1.05</v>
      </c>
      <c r="G226">
        <v>0.95</v>
      </c>
      <c r="H226" s="27" t="s">
        <v>68</v>
      </c>
      <c r="I226">
        <v>0.75</v>
      </c>
    </row>
    <row r="227" spans="1:9" x14ac:dyDescent="0.2">
      <c r="A227" s="27" t="s">
        <v>62</v>
      </c>
      <c r="B227" s="27" t="s">
        <v>153</v>
      </c>
      <c r="C227">
        <v>100</v>
      </c>
      <c r="D227">
        <v>1.05</v>
      </c>
      <c r="E227">
        <v>1.05</v>
      </c>
      <c r="F227">
        <v>1.05</v>
      </c>
      <c r="G227">
        <v>0.95</v>
      </c>
      <c r="H227" s="27" t="s">
        <v>68</v>
      </c>
      <c r="I227">
        <v>0.75</v>
      </c>
    </row>
    <row r="228" spans="1:9" x14ac:dyDescent="0.2">
      <c r="A228" s="27" t="s">
        <v>62</v>
      </c>
      <c r="B228" s="27" t="s">
        <v>154</v>
      </c>
      <c r="C228">
        <v>100</v>
      </c>
      <c r="D228">
        <v>1.05</v>
      </c>
      <c r="E228">
        <v>1.05</v>
      </c>
      <c r="F228">
        <v>1.05</v>
      </c>
      <c r="G228">
        <v>0.95</v>
      </c>
      <c r="H228" s="27" t="s">
        <v>68</v>
      </c>
      <c r="I228">
        <v>0.75</v>
      </c>
    </row>
    <row r="229" spans="1:9" x14ac:dyDescent="0.2">
      <c r="A229" s="27" t="s">
        <v>62</v>
      </c>
      <c r="B229" s="27" t="s">
        <v>155</v>
      </c>
      <c r="C229">
        <v>100</v>
      </c>
      <c r="D229">
        <v>1.05</v>
      </c>
      <c r="E229">
        <v>1.05</v>
      </c>
      <c r="F229">
        <v>1.05</v>
      </c>
      <c r="G229">
        <v>0.95</v>
      </c>
      <c r="H229" s="27" t="s">
        <v>68</v>
      </c>
      <c r="I229">
        <v>0.75</v>
      </c>
    </row>
    <row r="230" spans="1:9" x14ac:dyDescent="0.2">
      <c r="A230" s="27" t="s">
        <v>62</v>
      </c>
      <c r="B230" s="27" t="s">
        <v>156</v>
      </c>
      <c r="C230">
        <v>100</v>
      </c>
      <c r="D230">
        <v>1.05</v>
      </c>
      <c r="E230">
        <v>1.05</v>
      </c>
      <c r="F230">
        <v>1.05</v>
      </c>
      <c r="G230">
        <v>0.95</v>
      </c>
      <c r="H230" s="27" t="s">
        <v>68</v>
      </c>
      <c r="I230">
        <v>0.75</v>
      </c>
    </row>
    <row r="231" spans="1:9" x14ac:dyDescent="0.2">
      <c r="A231" s="27" t="s">
        <v>62</v>
      </c>
      <c r="B231" s="27" t="s">
        <v>157</v>
      </c>
      <c r="C231">
        <v>100</v>
      </c>
      <c r="D231">
        <v>1.05</v>
      </c>
      <c r="E231">
        <v>1.05</v>
      </c>
      <c r="F231">
        <v>1.05</v>
      </c>
      <c r="G231">
        <v>0.95</v>
      </c>
      <c r="H231" s="27" t="s">
        <v>68</v>
      </c>
      <c r="I231">
        <v>0.75</v>
      </c>
    </row>
    <row r="232" spans="1:9" x14ac:dyDescent="0.2">
      <c r="A232" s="27" t="s">
        <v>62</v>
      </c>
      <c r="B232" s="27" t="s">
        <v>168</v>
      </c>
      <c r="C232">
        <v>100</v>
      </c>
      <c r="D232">
        <v>1.05</v>
      </c>
      <c r="E232">
        <v>1.05</v>
      </c>
      <c r="F232">
        <v>1.05</v>
      </c>
      <c r="G232">
        <v>0.95</v>
      </c>
      <c r="H232" s="27" t="s">
        <v>68</v>
      </c>
      <c r="I232">
        <v>0.75</v>
      </c>
    </row>
    <row r="233" spans="1:9" x14ac:dyDescent="0.2">
      <c r="A233" s="27" t="s">
        <v>62</v>
      </c>
      <c r="B233" s="27" t="s">
        <v>158</v>
      </c>
      <c r="C233">
        <v>100</v>
      </c>
      <c r="D233">
        <v>1.05</v>
      </c>
      <c r="E233">
        <v>1.05</v>
      </c>
      <c r="F233">
        <v>1.05</v>
      </c>
      <c r="G233">
        <v>0.95</v>
      </c>
      <c r="H233" s="27" t="s">
        <v>68</v>
      </c>
      <c r="I233">
        <v>0.75</v>
      </c>
    </row>
    <row r="234" spans="1:9" x14ac:dyDescent="0.2">
      <c r="A234" s="27" t="s">
        <v>62</v>
      </c>
      <c r="B234" s="27" t="s">
        <v>159</v>
      </c>
      <c r="C234">
        <v>100</v>
      </c>
      <c r="D234">
        <v>1.05</v>
      </c>
      <c r="E234">
        <v>1.05</v>
      </c>
      <c r="F234">
        <v>1.05</v>
      </c>
      <c r="G234">
        <v>0.95</v>
      </c>
      <c r="H234" s="27" t="s">
        <v>68</v>
      </c>
      <c r="I234">
        <v>0.75</v>
      </c>
    </row>
    <row r="235" spans="1:9" x14ac:dyDescent="0.2">
      <c r="A235" s="27" t="s">
        <v>62</v>
      </c>
      <c r="B235" s="27" t="s">
        <v>160</v>
      </c>
      <c r="C235">
        <v>100</v>
      </c>
      <c r="D235">
        <v>1.05</v>
      </c>
      <c r="E235">
        <v>1.05</v>
      </c>
      <c r="F235">
        <v>1.05</v>
      </c>
      <c r="G235">
        <v>0.95</v>
      </c>
      <c r="H235" s="27" t="s">
        <v>68</v>
      </c>
      <c r="I235">
        <v>0.75</v>
      </c>
    </row>
    <row r="236" spans="1:9" x14ac:dyDescent="0.2">
      <c r="A236" s="27" t="s">
        <v>62</v>
      </c>
      <c r="B236" s="27" t="s">
        <v>161</v>
      </c>
      <c r="C236">
        <v>100</v>
      </c>
      <c r="D236">
        <v>1.05</v>
      </c>
      <c r="E236">
        <v>1.05</v>
      </c>
      <c r="F236">
        <v>1.05</v>
      </c>
      <c r="G236">
        <v>0.95</v>
      </c>
      <c r="H236" s="27" t="s">
        <v>68</v>
      </c>
      <c r="I236">
        <v>0.75</v>
      </c>
    </row>
    <row r="237" spans="1:9" x14ac:dyDescent="0.2">
      <c r="A237" s="27" t="s">
        <v>62</v>
      </c>
      <c r="B237" s="27" t="s">
        <v>162</v>
      </c>
      <c r="C237">
        <v>100</v>
      </c>
      <c r="D237">
        <v>1.05</v>
      </c>
      <c r="E237">
        <v>1.05</v>
      </c>
      <c r="F237">
        <v>1.05</v>
      </c>
      <c r="G237">
        <v>0.95</v>
      </c>
      <c r="H237" s="27" t="s">
        <v>68</v>
      </c>
      <c r="I237">
        <v>0.75</v>
      </c>
    </row>
    <row r="238" spans="1:9" x14ac:dyDescent="0.2">
      <c r="A238" s="27" t="s">
        <v>62</v>
      </c>
      <c r="B238" s="27" t="s">
        <v>163</v>
      </c>
      <c r="C238">
        <v>100</v>
      </c>
      <c r="D238">
        <v>1.05</v>
      </c>
      <c r="E238">
        <v>1.05</v>
      </c>
      <c r="F238">
        <v>1.05</v>
      </c>
      <c r="G238">
        <v>0.95</v>
      </c>
      <c r="H238" s="27" t="s">
        <v>68</v>
      </c>
      <c r="I238">
        <v>0.75</v>
      </c>
    </row>
    <row r="239" spans="1:9" x14ac:dyDescent="0.2">
      <c r="A239" s="27" t="s">
        <v>62</v>
      </c>
      <c r="B239" s="27" t="s">
        <v>164</v>
      </c>
      <c r="C239">
        <v>100</v>
      </c>
      <c r="D239">
        <v>4.5</v>
      </c>
      <c r="E239">
        <v>3.8</v>
      </c>
      <c r="F239">
        <v>1.7</v>
      </c>
      <c r="G239">
        <v>1.7</v>
      </c>
      <c r="H239" s="27" t="s">
        <v>115</v>
      </c>
      <c r="I239">
        <v>1.5</v>
      </c>
    </row>
    <row r="240" spans="1:9" x14ac:dyDescent="0.2">
      <c r="A240" s="27" t="s">
        <v>62</v>
      </c>
      <c r="B240" s="27" t="s">
        <v>165</v>
      </c>
      <c r="C240">
        <v>100</v>
      </c>
      <c r="D240">
        <v>4.5</v>
      </c>
      <c r="E240">
        <v>3.8</v>
      </c>
      <c r="F240">
        <v>1.7</v>
      </c>
      <c r="G240">
        <v>1.7</v>
      </c>
      <c r="H240" s="27" t="s">
        <v>115</v>
      </c>
      <c r="I240">
        <v>1.5</v>
      </c>
    </row>
    <row r="241" spans="1:9" x14ac:dyDescent="0.2">
      <c r="A241" s="27" t="s">
        <v>62</v>
      </c>
      <c r="B241" s="27" t="s">
        <v>54</v>
      </c>
      <c r="C241">
        <v>100</v>
      </c>
      <c r="D241">
        <v>4.5</v>
      </c>
      <c r="E241">
        <v>3.8</v>
      </c>
      <c r="F241">
        <v>1.7</v>
      </c>
      <c r="G241">
        <v>1.7</v>
      </c>
      <c r="H241" s="27" t="s">
        <v>115</v>
      </c>
      <c r="I241">
        <v>1.5</v>
      </c>
    </row>
    <row r="242" spans="1:9" x14ac:dyDescent="0.2">
      <c r="A242" s="27" t="s">
        <v>62</v>
      </c>
      <c r="B242" s="27" t="s">
        <v>166</v>
      </c>
      <c r="C242">
        <v>100</v>
      </c>
      <c r="D242">
        <v>4.5</v>
      </c>
      <c r="E242">
        <v>3.8</v>
      </c>
      <c r="F242">
        <v>1.85</v>
      </c>
      <c r="G242">
        <v>1.75</v>
      </c>
      <c r="H242" s="27" t="s">
        <v>103</v>
      </c>
      <c r="I242">
        <v>1.45</v>
      </c>
    </row>
    <row r="243" spans="1:9" x14ac:dyDescent="0.2">
      <c r="A243" s="27" t="s">
        <v>62</v>
      </c>
      <c r="B243" s="27" t="s">
        <v>167</v>
      </c>
      <c r="C243">
        <v>100</v>
      </c>
      <c r="D243">
        <v>4.5</v>
      </c>
      <c r="E243">
        <v>3.8</v>
      </c>
      <c r="F243">
        <v>1.85</v>
      </c>
      <c r="G243">
        <v>1.75</v>
      </c>
      <c r="H243" s="27" t="s">
        <v>103</v>
      </c>
      <c r="I243">
        <v>1.45</v>
      </c>
    </row>
    <row r="244" spans="1:9" x14ac:dyDescent="0.2">
      <c r="A244" s="27" t="s">
        <v>62</v>
      </c>
      <c r="B244" s="27" t="s">
        <v>51</v>
      </c>
      <c r="C244">
        <v>100</v>
      </c>
      <c r="D244">
        <v>4.5</v>
      </c>
      <c r="E244">
        <v>3.8</v>
      </c>
      <c r="F244">
        <v>1.7</v>
      </c>
      <c r="G244">
        <v>1.6</v>
      </c>
      <c r="H244" s="27" t="s">
        <v>79</v>
      </c>
      <c r="I244">
        <v>1.4</v>
      </c>
    </row>
    <row r="245" spans="1:9" x14ac:dyDescent="0.2">
      <c r="A245" s="27" t="s">
        <v>62</v>
      </c>
      <c r="B245" s="27" t="s">
        <v>52</v>
      </c>
      <c r="C245">
        <v>100</v>
      </c>
      <c r="D245">
        <v>4.5</v>
      </c>
      <c r="E245">
        <v>3.8</v>
      </c>
      <c r="F245">
        <v>1.65</v>
      </c>
      <c r="G245">
        <v>1.55</v>
      </c>
      <c r="H245" s="27" t="s">
        <v>105</v>
      </c>
      <c r="I245">
        <v>1.35</v>
      </c>
    </row>
    <row r="246" spans="1:9" x14ac:dyDescent="0.2">
      <c r="A246" s="27" t="s">
        <v>169</v>
      </c>
      <c r="B246" s="27" t="s">
        <v>47</v>
      </c>
      <c r="C246">
        <v>130</v>
      </c>
      <c r="D246">
        <v>2.89</v>
      </c>
      <c r="E246">
        <v>2.89</v>
      </c>
      <c r="F246">
        <v>0.87</v>
      </c>
      <c r="G246">
        <v>0.87</v>
      </c>
      <c r="H246" s="27" t="s">
        <v>125</v>
      </c>
      <c r="I246">
        <v>0.87</v>
      </c>
    </row>
    <row r="247" spans="1:9" x14ac:dyDescent="0.2">
      <c r="A247" s="27" t="s">
        <v>170</v>
      </c>
      <c r="B247" s="27" t="s">
        <v>47</v>
      </c>
      <c r="C247">
        <v>130</v>
      </c>
      <c r="D247">
        <v>2.89</v>
      </c>
      <c r="E247">
        <v>2.89</v>
      </c>
      <c r="F247">
        <v>0.87</v>
      </c>
      <c r="G247">
        <v>0.87</v>
      </c>
      <c r="H247" s="27" t="s">
        <v>125</v>
      </c>
      <c r="I247">
        <v>0.87</v>
      </c>
    </row>
    <row r="248" spans="1:9" x14ac:dyDescent="0.2">
      <c r="A248" s="27" t="s">
        <v>169</v>
      </c>
      <c r="B248" s="27" t="s">
        <v>48</v>
      </c>
      <c r="C248">
        <v>130</v>
      </c>
      <c r="D248">
        <v>2.89</v>
      </c>
      <c r="E248">
        <v>2.89</v>
      </c>
      <c r="F248">
        <v>1.05</v>
      </c>
      <c r="G248">
        <v>1.05</v>
      </c>
      <c r="H248" s="27" t="s">
        <v>72</v>
      </c>
      <c r="I248">
        <v>1.05</v>
      </c>
    </row>
    <row r="249" spans="1:9" x14ac:dyDescent="0.2">
      <c r="A249" s="27" t="s">
        <v>170</v>
      </c>
      <c r="B249" s="27" t="s">
        <v>48</v>
      </c>
      <c r="C249">
        <v>130</v>
      </c>
      <c r="D249">
        <v>2.89</v>
      </c>
      <c r="E249">
        <v>2.89</v>
      </c>
      <c r="F249">
        <v>1.05</v>
      </c>
      <c r="G249">
        <v>1.05</v>
      </c>
      <c r="H249" s="27" t="s">
        <v>72</v>
      </c>
      <c r="I249">
        <v>1.05</v>
      </c>
    </row>
    <row r="250" spans="1:9" x14ac:dyDescent="0.2">
      <c r="A250" s="27" t="s">
        <v>169</v>
      </c>
      <c r="B250" s="27" t="s">
        <v>139</v>
      </c>
      <c r="C250">
        <v>130</v>
      </c>
      <c r="D250">
        <v>4.5</v>
      </c>
      <c r="E250">
        <v>3.8</v>
      </c>
      <c r="F250">
        <v>1.8</v>
      </c>
      <c r="G250">
        <v>1.7</v>
      </c>
      <c r="H250" s="27" t="s">
        <v>115</v>
      </c>
      <c r="I250">
        <v>1.5</v>
      </c>
    </row>
    <row r="251" spans="1:9" x14ac:dyDescent="0.2">
      <c r="A251" s="27" t="s">
        <v>170</v>
      </c>
      <c r="B251" s="27" t="s">
        <v>139</v>
      </c>
      <c r="C251">
        <v>130</v>
      </c>
      <c r="D251">
        <v>4.5</v>
      </c>
      <c r="E251">
        <v>3.8</v>
      </c>
      <c r="F251">
        <v>1.8</v>
      </c>
      <c r="G251">
        <v>1.7</v>
      </c>
      <c r="H251" s="27" t="s">
        <v>115</v>
      </c>
      <c r="I251">
        <v>1.5</v>
      </c>
    </row>
    <row r="252" spans="1:9" x14ac:dyDescent="0.2">
      <c r="A252" s="27" t="s">
        <v>169</v>
      </c>
      <c r="B252" s="27" t="s">
        <v>140</v>
      </c>
      <c r="C252">
        <v>130</v>
      </c>
      <c r="D252">
        <v>4.5</v>
      </c>
      <c r="E252">
        <v>3.8</v>
      </c>
      <c r="F252">
        <v>1.8</v>
      </c>
      <c r="G252">
        <v>1.7</v>
      </c>
      <c r="H252" s="27" t="s">
        <v>115</v>
      </c>
      <c r="I252">
        <v>1.5</v>
      </c>
    </row>
    <row r="253" spans="1:9" x14ac:dyDescent="0.2">
      <c r="A253" s="27" t="s">
        <v>170</v>
      </c>
      <c r="B253" s="27" t="s">
        <v>140</v>
      </c>
      <c r="C253">
        <v>130</v>
      </c>
      <c r="D253">
        <v>4.5</v>
      </c>
      <c r="E253">
        <v>3.8</v>
      </c>
      <c r="F253">
        <v>1.8</v>
      </c>
      <c r="G253">
        <v>1.7</v>
      </c>
      <c r="H253" s="27" t="s">
        <v>115</v>
      </c>
      <c r="I253">
        <v>1.5</v>
      </c>
    </row>
    <row r="254" spans="1:9" x14ac:dyDescent="0.2">
      <c r="A254" s="27" t="s">
        <v>169</v>
      </c>
      <c r="B254" s="27" t="s">
        <v>49</v>
      </c>
      <c r="C254">
        <v>130</v>
      </c>
      <c r="D254">
        <v>4.5</v>
      </c>
      <c r="E254">
        <v>3.8</v>
      </c>
      <c r="F254">
        <v>2.8</v>
      </c>
      <c r="G254">
        <v>2.7</v>
      </c>
      <c r="H254" s="27" t="s">
        <v>85</v>
      </c>
      <c r="I254">
        <v>2.5</v>
      </c>
    </row>
    <row r="255" spans="1:9" x14ac:dyDescent="0.2">
      <c r="A255" s="27" t="s">
        <v>170</v>
      </c>
      <c r="B255" s="27" t="s">
        <v>49</v>
      </c>
      <c r="C255">
        <v>130</v>
      </c>
      <c r="D255">
        <v>4.5</v>
      </c>
      <c r="E255">
        <v>3.8</v>
      </c>
      <c r="F255">
        <v>2.8</v>
      </c>
      <c r="G255">
        <v>2.7</v>
      </c>
      <c r="H255" s="27" t="s">
        <v>85</v>
      </c>
      <c r="I255">
        <v>2.5</v>
      </c>
    </row>
    <row r="256" spans="1:9" x14ac:dyDescent="0.2">
      <c r="A256" s="27" t="s">
        <v>169</v>
      </c>
      <c r="B256" s="27" t="s">
        <v>50</v>
      </c>
      <c r="C256">
        <v>130</v>
      </c>
      <c r="D256">
        <v>4.5</v>
      </c>
      <c r="E256">
        <v>3.8</v>
      </c>
      <c r="F256">
        <v>2.2999999999999998</v>
      </c>
      <c r="G256">
        <v>2.2000000000000002</v>
      </c>
      <c r="H256" s="27" t="s">
        <v>89</v>
      </c>
      <c r="I256">
        <v>2</v>
      </c>
    </row>
    <row r="257" spans="1:9" x14ac:dyDescent="0.2">
      <c r="A257" s="27" t="s">
        <v>170</v>
      </c>
      <c r="B257" s="27" t="s">
        <v>50</v>
      </c>
      <c r="C257">
        <v>130</v>
      </c>
      <c r="D257">
        <v>4.5</v>
      </c>
      <c r="E257">
        <v>3.8</v>
      </c>
      <c r="F257">
        <v>2.2999999999999998</v>
      </c>
      <c r="G257">
        <v>2.2000000000000002</v>
      </c>
      <c r="H257" s="27" t="s">
        <v>89</v>
      </c>
      <c r="I257">
        <v>2</v>
      </c>
    </row>
    <row r="258" spans="1:9" x14ac:dyDescent="0.2">
      <c r="A258" s="27" t="s">
        <v>169</v>
      </c>
      <c r="B258" s="27" t="s">
        <v>141</v>
      </c>
      <c r="C258">
        <v>130</v>
      </c>
      <c r="D258">
        <v>2.89</v>
      </c>
      <c r="E258">
        <v>2.89</v>
      </c>
      <c r="F258">
        <v>1.4</v>
      </c>
      <c r="G258">
        <v>1.3</v>
      </c>
      <c r="H258" s="27" t="s">
        <v>82</v>
      </c>
      <c r="I258">
        <v>1.1000000000000001</v>
      </c>
    </row>
    <row r="259" spans="1:9" x14ac:dyDescent="0.2">
      <c r="A259" s="27" t="s">
        <v>170</v>
      </c>
      <c r="B259" s="27" t="s">
        <v>141</v>
      </c>
      <c r="C259">
        <v>130</v>
      </c>
      <c r="D259">
        <v>2.89</v>
      </c>
      <c r="E259">
        <v>2.89</v>
      </c>
      <c r="F259">
        <v>1.4</v>
      </c>
      <c r="G259">
        <v>1.3</v>
      </c>
      <c r="H259" s="27" t="s">
        <v>82</v>
      </c>
      <c r="I259">
        <v>1.1000000000000001</v>
      </c>
    </row>
    <row r="260" spans="1:9" x14ac:dyDescent="0.2">
      <c r="A260" s="27" t="s">
        <v>169</v>
      </c>
      <c r="B260" s="27" t="s">
        <v>142</v>
      </c>
      <c r="C260">
        <v>130</v>
      </c>
      <c r="D260">
        <v>2.89</v>
      </c>
      <c r="E260">
        <v>2.89</v>
      </c>
      <c r="F260">
        <v>1.4</v>
      </c>
      <c r="G260">
        <v>1.3</v>
      </c>
      <c r="H260" s="27" t="s">
        <v>82</v>
      </c>
      <c r="I260">
        <v>1.1000000000000001</v>
      </c>
    </row>
    <row r="261" spans="1:9" x14ac:dyDescent="0.2">
      <c r="A261" s="27" t="s">
        <v>170</v>
      </c>
      <c r="B261" s="27" t="s">
        <v>142</v>
      </c>
      <c r="C261">
        <v>130</v>
      </c>
      <c r="D261">
        <v>2.89</v>
      </c>
      <c r="E261">
        <v>2.89</v>
      </c>
      <c r="F261">
        <v>1.4</v>
      </c>
      <c r="G261">
        <v>1.3</v>
      </c>
      <c r="H261" s="27" t="s">
        <v>82</v>
      </c>
      <c r="I261">
        <v>1.1000000000000001</v>
      </c>
    </row>
    <row r="262" spans="1:9" x14ac:dyDescent="0.2">
      <c r="A262" s="27" t="s">
        <v>169</v>
      </c>
      <c r="B262" s="27" t="s">
        <v>143</v>
      </c>
      <c r="C262">
        <v>130</v>
      </c>
      <c r="D262">
        <v>2.89</v>
      </c>
      <c r="E262">
        <v>2.89</v>
      </c>
      <c r="F262">
        <v>1.4</v>
      </c>
      <c r="G262">
        <v>1.3</v>
      </c>
      <c r="H262" s="27" t="s">
        <v>82</v>
      </c>
      <c r="I262">
        <v>1.1000000000000001</v>
      </c>
    </row>
    <row r="263" spans="1:9" x14ac:dyDescent="0.2">
      <c r="A263" s="27" t="s">
        <v>170</v>
      </c>
      <c r="B263" s="27" t="s">
        <v>143</v>
      </c>
      <c r="C263">
        <v>130</v>
      </c>
      <c r="D263">
        <v>2.89</v>
      </c>
      <c r="E263">
        <v>2.89</v>
      </c>
      <c r="F263">
        <v>1.4</v>
      </c>
      <c r="G263">
        <v>1.3</v>
      </c>
      <c r="H263" s="27" t="s">
        <v>82</v>
      </c>
      <c r="I263">
        <v>1.1000000000000001</v>
      </c>
    </row>
    <row r="264" spans="1:9" x14ac:dyDescent="0.2">
      <c r="A264" s="27" t="s">
        <v>169</v>
      </c>
      <c r="B264" s="27" t="s">
        <v>144</v>
      </c>
      <c r="C264">
        <v>130</v>
      </c>
      <c r="D264">
        <v>2.89</v>
      </c>
      <c r="E264">
        <v>2.89</v>
      </c>
      <c r="F264">
        <v>1.4</v>
      </c>
      <c r="G264">
        <v>1.3</v>
      </c>
      <c r="H264" s="27" t="s">
        <v>82</v>
      </c>
      <c r="I264">
        <v>1.1000000000000001</v>
      </c>
    </row>
    <row r="265" spans="1:9" x14ac:dyDescent="0.2">
      <c r="A265" s="27" t="s">
        <v>170</v>
      </c>
      <c r="B265" s="27" t="s">
        <v>144</v>
      </c>
      <c r="C265">
        <v>130</v>
      </c>
      <c r="D265">
        <v>2.89</v>
      </c>
      <c r="E265">
        <v>2.89</v>
      </c>
      <c r="F265">
        <v>1.4</v>
      </c>
      <c r="G265">
        <v>1.3</v>
      </c>
      <c r="H265" s="27" t="s">
        <v>82</v>
      </c>
      <c r="I265">
        <v>1.1000000000000001</v>
      </c>
    </row>
    <row r="266" spans="1:9" x14ac:dyDescent="0.2">
      <c r="A266" s="27" t="s">
        <v>169</v>
      </c>
      <c r="B266" s="27" t="s">
        <v>145</v>
      </c>
      <c r="C266">
        <v>130</v>
      </c>
      <c r="D266">
        <v>2.89</v>
      </c>
      <c r="E266">
        <v>2.89</v>
      </c>
      <c r="F266">
        <v>1.4</v>
      </c>
      <c r="G266">
        <v>1.3</v>
      </c>
      <c r="H266" s="27" t="s">
        <v>82</v>
      </c>
      <c r="I266">
        <v>1.1000000000000001</v>
      </c>
    </row>
    <row r="267" spans="1:9" x14ac:dyDescent="0.2">
      <c r="A267" s="27" t="s">
        <v>170</v>
      </c>
      <c r="B267" s="27" t="s">
        <v>145</v>
      </c>
      <c r="C267">
        <v>130</v>
      </c>
      <c r="D267">
        <v>2.89</v>
      </c>
      <c r="E267">
        <v>2.89</v>
      </c>
      <c r="F267">
        <v>1.4</v>
      </c>
      <c r="G267">
        <v>1.3</v>
      </c>
      <c r="H267" s="27" t="s">
        <v>82</v>
      </c>
      <c r="I267">
        <v>1.1000000000000001</v>
      </c>
    </row>
    <row r="268" spans="1:9" x14ac:dyDescent="0.2">
      <c r="A268" s="27" t="s">
        <v>169</v>
      </c>
      <c r="B268" s="27" t="s">
        <v>146</v>
      </c>
      <c r="C268">
        <v>130</v>
      </c>
      <c r="D268">
        <v>2.89</v>
      </c>
      <c r="E268">
        <v>2.89</v>
      </c>
      <c r="F268">
        <v>1.4</v>
      </c>
      <c r="G268">
        <v>1.3</v>
      </c>
      <c r="H268" s="27" t="s">
        <v>82</v>
      </c>
      <c r="I268">
        <v>1.1000000000000001</v>
      </c>
    </row>
    <row r="269" spans="1:9" x14ac:dyDescent="0.2">
      <c r="A269" s="27" t="s">
        <v>170</v>
      </c>
      <c r="B269" s="27" t="s">
        <v>146</v>
      </c>
      <c r="C269">
        <v>130</v>
      </c>
      <c r="D269">
        <v>2.89</v>
      </c>
      <c r="E269">
        <v>2.89</v>
      </c>
      <c r="F269">
        <v>1.4</v>
      </c>
      <c r="G269">
        <v>1.3</v>
      </c>
      <c r="H269" s="27" t="s">
        <v>82</v>
      </c>
      <c r="I269">
        <v>1.1000000000000001</v>
      </c>
    </row>
    <row r="270" spans="1:9" x14ac:dyDescent="0.2">
      <c r="A270" s="27" t="s">
        <v>169</v>
      </c>
      <c r="B270" s="27" t="s">
        <v>147</v>
      </c>
      <c r="C270">
        <v>130</v>
      </c>
      <c r="D270">
        <v>2.89</v>
      </c>
      <c r="E270">
        <v>2.89</v>
      </c>
      <c r="F270">
        <v>1.4</v>
      </c>
      <c r="G270">
        <v>1.3</v>
      </c>
      <c r="H270" s="27" t="s">
        <v>82</v>
      </c>
      <c r="I270">
        <v>1.1000000000000001</v>
      </c>
    </row>
    <row r="271" spans="1:9" x14ac:dyDescent="0.2">
      <c r="A271" s="27" t="s">
        <v>170</v>
      </c>
      <c r="B271" s="27" t="s">
        <v>147</v>
      </c>
      <c r="C271">
        <v>130</v>
      </c>
      <c r="D271">
        <v>2.89</v>
      </c>
      <c r="E271">
        <v>2.89</v>
      </c>
      <c r="F271">
        <v>1.4</v>
      </c>
      <c r="G271">
        <v>1.3</v>
      </c>
      <c r="H271" s="27" t="s">
        <v>82</v>
      </c>
      <c r="I271">
        <v>1.1000000000000001</v>
      </c>
    </row>
    <row r="272" spans="1:9" x14ac:dyDescent="0.2">
      <c r="A272" s="27" t="s">
        <v>169</v>
      </c>
      <c r="B272" s="27" t="s">
        <v>148</v>
      </c>
      <c r="C272">
        <v>130</v>
      </c>
      <c r="D272">
        <v>2.89</v>
      </c>
      <c r="E272">
        <v>2.89</v>
      </c>
      <c r="F272">
        <v>1.4</v>
      </c>
      <c r="G272">
        <v>1.3</v>
      </c>
      <c r="H272" s="27" t="s">
        <v>82</v>
      </c>
      <c r="I272">
        <v>1.1000000000000001</v>
      </c>
    </row>
    <row r="273" spans="1:9" x14ac:dyDescent="0.2">
      <c r="A273" s="27" t="s">
        <v>170</v>
      </c>
      <c r="B273" s="27" t="s">
        <v>148</v>
      </c>
      <c r="C273">
        <v>130</v>
      </c>
      <c r="D273">
        <v>2.89</v>
      </c>
      <c r="E273">
        <v>2.89</v>
      </c>
      <c r="F273">
        <v>1.4</v>
      </c>
      <c r="G273">
        <v>1.3</v>
      </c>
      <c r="H273" s="27" t="s">
        <v>82</v>
      </c>
      <c r="I273">
        <v>1.1000000000000001</v>
      </c>
    </row>
    <row r="274" spans="1:9" x14ac:dyDescent="0.2">
      <c r="A274" s="27" t="s">
        <v>169</v>
      </c>
      <c r="B274" s="27" t="s">
        <v>150</v>
      </c>
      <c r="C274">
        <v>130</v>
      </c>
      <c r="D274">
        <v>2.89</v>
      </c>
      <c r="E274">
        <v>2.89</v>
      </c>
      <c r="F274">
        <v>1.4</v>
      </c>
      <c r="G274">
        <v>1.3</v>
      </c>
      <c r="H274" s="27" t="s">
        <v>82</v>
      </c>
      <c r="I274">
        <v>1.1000000000000001</v>
      </c>
    </row>
    <row r="275" spans="1:9" x14ac:dyDescent="0.2">
      <c r="A275" s="27" t="s">
        <v>170</v>
      </c>
      <c r="B275" s="27" t="s">
        <v>150</v>
      </c>
      <c r="C275">
        <v>130</v>
      </c>
      <c r="D275">
        <v>2.89</v>
      </c>
      <c r="E275">
        <v>2.89</v>
      </c>
      <c r="F275">
        <v>1.4</v>
      </c>
      <c r="G275">
        <v>1.3</v>
      </c>
      <c r="H275" s="27" t="s">
        <v>82</v>
      </c>
      <c r="I275">
        <v>1.1000000000000001</v>
      </c>
    </row>
    <row r="276" spans="1:9" x14ac:dyDescent="0.2">
      <c r="A276" s="27" t="s">
        <v>169</v>
      </c>
      <c r="B276" s="27" t="s">
        <v>151</v>
      </c>
      <c r="C276">
        <v>130</v>
      </c>
      <c r="D276">
        <v>2.89</v>
      </c>
      <c r="E276">
        <v>2.89</v>
      </c>
      <c r="F276">
        <v>1.4</v>
      </c>
      <c r="G276">
        <v>1.3</v>
      </c>
      <c r="H276" s="27" t="s">
        <v>82</v>
      </c>
      <c r="I276">
        <v>1.1000000000000001</v>
      </c>
    </row>
    <row r="277" spans="1:9" x14ac:dyDescent="0.2">
      <c r="A277" s="27" t="s">
        <v>170</v>
      </c>
      <c r="B277" s="27" t="s">
        <v>151</v>
      </c>
      <c r="C277">
        <v>130</v>
      </c>
      <c r="D277">
        <v>2.89</v>
      </c>
      <c r="E277">
        <v>2.89</v>
      </c>
      <c r="F277">
        <v>1.4</v>
      </c>
      <c r="G277">
        <v>1.3</v>
      </c>
      <c r="H277" s="27" t="s">
        <v>82</v>
      </c>
      <c r="I277">
        <v>1.1000000000000001</v>
      </c>
    </row>
    <row r="278" spans="1:9" x14ac:dyDescent="0.2">
      <c r="A278" s="27" t="s">
        <v>169</v>
      </c>
      <c r="B278" s="27" t="s">
        <v>152</v>
      </c>
      <c r="C278">
        <v>130</v>
      </c>
      <c r="D278">
        <v>2.89</v>
      </c>
      <c r="E278">
        <v>2.89</v>
      </c>
      <c r="F278">
        <v>1.1000000000000001</v>
      </c>
      <c r="G278">
        <v>1.1000000000000001</v>
      </c>
      <c r="H278" s="27" t="s">
        <v>111</v>
      </c>
      <c r="I278">
        <v>1.1000000000000001</v>
      </c>
    </row>
    <row r="279" spans="1:9" x14ac:dyDescent="0.2">
      <c r="A279" s="27" t="s">
        <v>170</v>
      </c>
      <c r="B279" s="27" t="s">
        <v>152</v>
      </c>
      <c r="C279">
        <v>130</v>
      </c>
      <c r="D279">
        <v>2.89</v>
      </c>
      <c r="E279">
        <v>2.89</v>
      </c>
      <c r="F279">
        <v>1.1000000000000001</v>
      </c>
      <c r="G279">
        <v>1.1000000000000001</v>
      </c>
      <c r="H279" s="27" t="s">
        <v>111</v>
      </c>
      <c r="I279">
        <v>1.1000000000000001</v>
      </c>
    </row>
    <row r="280" spans="1:9" x14ac:dyDescent="0.2">
      <c r="A280" s="27" t="s">
        <v>169</v>
      </c>
      <c r="B280" s="27" t="s">
        <v>153</v>
      </c>
      <c r="C280">
        <v>130</v>
      </c>
      <c r="D280">
        <v>2.89</v>
      </c>
      <c r="E280">
        <v>2.89</v>
      </c>
      <c r="F280">
        <v>1.1000000000000001</v>
      </c>
      <c r="G280">
        <v>1.1000000000000001</v>
      </c>
      <c r="H280" s="27" t="s">
        <v>111</v>
      </c>
      <c r="I280">
        <v>1.1000000000000001</v>
      </c>
    </row>
    <row r="281" spans="1:9" x14ac:dyDescent="0.2">
      <c r="A281" s="27" t="s">
        <v>170</v>
      </c>
      <c r="B281" s="27" t="s">
        <v>153</v>
      </c>
      <c r="C281">
        <v>130</v>
      </c>
      <c r="D281">
        <v>2.89</v>
      </c>
      <c r="E281">
        <v>2.89</v>
      </c>
      <c r="F281">
        <v>1.1000000000000001</v>
      </c>
      <c r="G281">
        <v>1.1000000000000001</v>
      </c>
      <c r="H281" s="27" t="s">
        <v>111</v>
      </c>
      <c r="I281">
        <v>1.1000000000000001</v>
      </c>
    </row>
    <row r="282" spans="1:9" x14ac:dyDescent="0.2">
      <c r="A282" s="27" t="s">
        <v>169</v>
      </c>
      <c r="B282" s="27" t="s">
        <v>154</v>
      </c>
      <c r="C282">
        <v>130</v>
      </c>
      <c r="D282">
        <v>2.89</v>
      </c>
      <c r="E282">
        <v>2.89</v>
      </c>
      <c r="F282">
        <v>1.1000000000000001</v>
      </c>
      <c r="G282">
        <v>1.1000000000000001</v>
      </c>
      <c r="H282" s="27" t="s">
        <v>111</v>
      </c>
      <c r="I282">
        <v>1.1000000000000001</v>
      </c>
    </row>
    <row r="283" spans="1:9" x14ac:dyDescent="0.2">
      <c r="A283" s="27" t="s">
        <v>170</v>
      </c>
      <c r="B283" s="27" t="s">
        <v>154</v>
      </c>
      <c r="C283">
        <v>130</v>
      </c>
      <c r="D283">
        <v>2.89</v>
      </c>
      <c r="E283">
        <v>2.89</v>
      </c>
      <c r="F283">
        <v>1.1000000000000001</v>
      </c>
      <c r="G283">
        <v>1.1000000000000001</v>
      </c>
      <c r="H283" s="27" t="s">
        <v>111</v>
      </c>
      <c r="I283">
        <v>1.1000000000000001</v>
      </c>
    </row>
    <row r="284" spans="1:9" x14ac:dyDescent="0.2">
      <c r="A284" s="27" t="s">
        <v>169</v>
      </c>
      <c r="B284" s="27" t="s">
        <v>155</v>
      </c>
      <c r="C284">
        <v>130</v>
      </c>
      <c r="D284">
        <v>2.89</v>
      </c>
      <c r="E284">
        <v>2.89</v>
      </c>
      <c r="F284">
        <v>1.1000000000000001</v>
      </c>
      <c r="G284">
        <v>1.1000000000000001</v>
      </c>
      <c r="H284" s="27" t="s">
        <v>111</v>
      </c>
      <c r="I284">
        <v>1.1000000000000001</v>
      </c>
    </row>
    <row r="285" spans="1:9" x14ac:dyDescent="0.2">
      <c r="A285" s="27" t="s">
        <v>170</v>
      </c>
      <c r="B285" s="27" t="s">
        <v>155</v>
      </c>
      <c r="C285">
        <v>130</v>
      </c>
      <c r="D285">
        <v>2.89</v>
      </c>
      <c r="E285">
        <v>2.89</v>
      </c>
      <c r="F285">
        <v>1.1000000000000001</v>
      </c>
      <c r="G285">
        <v>1.1000000000000001</v>
      </c>
      <c r="H285" s="27" t="s">
        <v>111</v>
      </c>
      <c r="I285">
        <v>1.1000000000000001</v>
      </c>
    </row>
    <row r="286" spans="1:9" x14ac:dyDescent="0.2">
      <c r="A286" s="27" t="s">
        <v>169</v>
      </c>
      <c r="B286" s="27" t="s">
        <v>156</v>
      </c>
      <c r="C286">
        <v>130</v>
      </c>
      <c r="D286">
        <v>2.89</v>
      </c>
      <c r="E286">
        <v>2.89</v>
      </c>
      <c r="F286">
        <v>1.1000000000000001</v>
      </c>
      <c r="G286">
        <v>1.1000000000000001</v>
      </c>
      <c r="H286" s="27" t="s">
        <v>111</v>
      </c>
      <c r="I286">
        <v>1.1000000000000001</v>
      </c>
    </row>
    <row r="287" spans="1:9" x14ac:dyDescent="0.2">
      <c r="A287" s="27" t="s">
        <v>170</v>
      </c>
      <c r="B287" s="27" t="s">
        <v>156</v>
      </c>
      <c r="C287">
        <v>130</v>
      </c>
      <c r="D287">
        <v>2.89</v>
      </c>
      <c r="E287">
        <v>2.89</v>
      </c>
      <c r="F287">
        <v>1.1000000000000001</v>
      </c>
      <c r="G287">
        <v>1.1000000000000001</v>
      </c>
      <c r="H287" s="27" t="s">
        <v>111</v>
      </c>
      <c r="I287">
        <v>1.1000000000000001</v>
      </c>
    </row>
    <row r="288" spans="1:9" x14ac:dyDescent="0.2">
      <c r="A288" s="27" t="s">
        <v>169</v>
      </c>
      <c r="B288" s="27" t="s">
        <v>157</v>
      </c>
      <c r="C288">
        <v>130</v>
      </c>
      <c r="D288">
        <v>2.89</v>
      </c>
      <c r="E288">
        <v>2.89</v>
      </c>
      <c r="F288">
        <v>1.1000000000000001</v>
      </c>
      <c r="G288">
        <v>1.1000000000000001</v>
      </c>
      <c r="H288" s="27" t="s">
        <v>111</v>
      </c>
      <c r="I288">
        <v>1.1000000000000001</v>
      </c>
    </row>
    <row r="289" spans="1:9" x14ac:dyDescent="0.2">
      <c r="A289" s="27" t="s">
        <v>170</v>
      </c>
      <c r="B289" s="27" t="s">
        <v>157</v>
      </c>
      <c r="C289">
        <v>130</v>
      </c>
      <c r="D289">
        <v>2.89</v>
      </c>
      <c r="E289">
        <v>2.89</v>
      </c>
      <c r="F289">
        <v>1.1000000000000001</v>
      </c>
      <c r="G289">
        <v>1.1000000000000001</v>
      </c>
      <c r="H289" s="27" t="s">
        <v>111</v>
      </c>
      <c r="I289">
        <v>1.1000000000000001</v>
      </c>
    </row>
    <row r="290" spans="1:9" x14ac:dyDescent="0.2">
      <c r="A290" s="27" t="s">
        <v>169</v>
      </c>
      <c r="B290" s="27" t="s">
        <v>158</v>
      </c>
      <c r="C290">
        <v>130</v>
      </c>
      <c r="D290">
        <v>2.89</v>
      </c>
      <c r="E290">
        <v>2.89</v>
      </c>
      <c r="F290">
        <v>1.1000000000000001</v>
      </c>
      <c r="G290">
        <v>1.1000000000000001</v>
      </c>
      <c r="H290" s="27" t="s">
        <v>111</v>
      </c>
      <c r="I290">
        <v>1.1000000000000001</v>
      </c>
    </row>
    <row r="291" spans="1:9" x14ac:dyDescent="0.2">
      <c r="A291" s="27" t="s">
        <v>170</v>
      </c>
      <c r="B291" s="27" t="s">
        <v>158</v>
      </c>
      <c r="C291">
        <v>130</v>
      </c>
      <c r="D291">
        <v>2.89</v>
      </c>
      <c r="E291">
        <v>2.89</v>
      </c>
      <c r="F291">
        <v>1.1000000000000001</v>
      </c>
      <c r="G291">
        <v>1.1000000000000001</v>
      </c>
      <c r="H291" s="27" t="s">
        <v>111</v>
      </c>
      <c r="I291">
        <v>1.1000000000000001</v>
      </c>
    </row>
    <row r="292" spans="1:9" x14ac:dyDescent="0.2">
      <c r="A292" s="27" t="s">
        <v>169</v>
      </c>
      <c r="B292" s="27" t="s">
        <v>159</v>
      </c>
      <c r="C292">
        <v>130</v>
      </c>
      <c r="D292">
        <v>2.89</v>
      </c>
      <c r="E292">
        <v>2.89</v>
      </c>
      <c r="F292">
        <v>1.1000000000000001</v>
      </c>
      <c r="G292">
        <v>1.1000000000000001</v>
      </c>
      <c r="H292" s="27" t="s">
        <v>111</v>
      </c>
      <c r="I292">
        <v>1.1000000000000001</v>
      </c>
    </row>
    <row r="293" spans="1:9" x14ac:dyDescent="0.2">
      <c r="A293" s="27" t="s">
        <v>170</v>
      </c>
      <c r="B293" s="27" t="s">
        <v>159</v>
      </c>
      <c r="C293">
        <v>130</v>
      </c>
      <c r="D293">
        <v>2.89</v>
      </c>
      <c r="E293">
        <v>2.89</v>
      </c>
      <c r="F293">
        <v>1.1000000000000001</v>
      </c>
      <c r="G293">
        <v>1.1000000000000001</v>
      </c>
      <c r="H293" s="27" t="s">
        <v>111</v>
      </c>
      <c r="I293">
        <v>1.1000000000000001</v>
      </c>
    </row>
    <row r="294" spans="1:9" x14ac:dyDescent="0.2">
      <c r="A294" s="27" t="s">
        <v>169</v>
      </c>
      <c r="B294" s="27" t="s">
        <v>160</v>
      </c>
      <c r="C294">
        <v>130</v>
      </c>
      <c r="D294">
        <v>2.89</v>
      </c>
      <c r="E294">
        <v>2.89</v>
      </c>
      <c r="F294">
        <v>1.1000000000000001</v>
      </c>
      <c r="G294">
        <v>1.1000000000000001</v>
      </c>
      <c r="H294" s="27" t="s">
        <v>111</v>
      </c>
      <c r="I294">
        <v>1.1000000000000001</v>
      </c>
    </row>
    <row r="295" spans="1:9" x14ac:dyDescent="0.2">
      <c r="A295" s="27" t="s">
        <v>170</v>
      </c>
      <c r="B295" s="27" t="s">
        <v>160</v>
      </c>
      <c r="C295">
        <v>130</v>
      </c>
      <c r="D295">
        <v>2.89</v>
      </c>
      <c r="E295">
        <v>2.89</v>
      </c>
      <c r="F295">
        <v>1.1000000000000001</v>
      </c>
      <c r="G295">
        <v>1.1000000000000001</v>
      </c>
      <c r="H295" s="27" t="s">
        <v>111</v>
      </c>
      <c r="I295">
        <v>1.1000000000000001</v>
      </c>
    </row>
    <row r="296" spans="1:9" x14ac:dyDescent="0.2">
      <c r="A296" s="27" t="s">
        <v>169</v>
      </c>
      <c r="B296" s="27" t="s">
        <v>161</v>
      </c>
      <c r="C296">
        <v>130</v>
      </c>
      <c r="D296">
        <v>2.89</v>
      </c>
      <c r="E296">
        <v>2.89</v>
      </c>
      <c r="F296">
        <v>1.1000000000000001</v>
      </c>
      <c r="G296">
        <v>1.1000000000000001</v>
      </c>
      <c r="H296" s="27" t="s">
        <v>111</v>
      </c>
      <c r="I296">
        <v>1.1000000000000001</v>
      </c>
    </row>
    <row r="297" spans="1:9" x14ac:dyDescent="0.2">
      <c r="A297" s="27" t="s">
        <v>170</v>
      </c>
      <c r="B297" s="27" t="s">
        <v>161</v>
      </c>
      <c r="C297">
        <v>130</v>
      </c>
      <c r="D297">
        <v>2.89</v>
      </c>
      <c r="E297">
        <v>2.89</v>
      </c>
      <c r="F297">
        <v>1.1000000000000001</v>
      </c>
      <c r="G297">
        <v>1.1000000000000001</v>
      </c>
      <c r="H297" s="27" t="s">
        <v>111</v>
      </c>
      <c r="I297">
        <v>1.1000000000000001</v>
      </c>
    </row>
    <row r="298" spans="1:9" x14ac:dyDescent="0.2">
      <c r="A298" s="27" t="s">
        <v>169</v>
      </c>
      <c r="B298" s="27" t="s">
        <v>162</v>
      </c>
      <c r="C298">
        <v>130</v>
      </c>
      <c r="D298">
        <v>2.89</v>
      </c>
      <c r="E298">
        <v>2.89</v>
      </c>
      <c r="F298">
        <v>1.1000000000000001</v>
      </c>
      <c r="G298">
        <v>1.1000000000000001</v>
      </c>
      <c r="H298" s="27" t="s">
        <v>111</v>
      </c>
      <c r="I298">
        <v>1.1000000000000001</v>
      </c>
    </row>
    <row r="299" spans="1:9" x14ac:dyDescent="0.2">
      <c r="A299" s="27" t="s">
        <v>170</v>
      </c>
      <c r="B299" s="27" t="s">
        <v>162</v>
      </c>
      <c r="C299">
        <v>130</v>
      </c>
      <c r="D299">
        <v>2.89</v>
      </c>
      <c r="E299">
        <v>2.89</v>
      </c>
      <c r="F299">
        <v>1.1000000000000001</v>
      </c>
      <c r="G299">
        <v>1.1000000000000001</v>
      </c>
      <c r="H299" s="27" t="s">
        <v>111</v>
      </c>
      <c r="I299">
        <v>1.1000000000000001</v>
      </c>
    </row>
    <row r="300" spans="1:9" x14ac:dyDescent="0.2">
      <c r="A300" s="27" t="s">
        <v>169</v>
      </c>
      <c r="B300" s="27" t="s">
        <v>163</v>
      </c>
      <c r="C300">
        <v>130</v>
      </c>
      <c r="D300">
        <v>2.89</v>
      </c>
      <c r="E300">
        <v>2.89</v>
      </c>
      <c r="F300">
        <v>1.1000000000000001</v>
      </c>
      <c r="G300">
        <v>1.1000000000000001</v>
      </c>
      <c r="H300" s="27" t="s">
        <v>111</v>
      </c>
      <c r="I300">
        <v>1.1000000000000001</v>
      </c>
    </row>
    <row r="301" spans="1:9" x14ac:dyDescent="0.2">
      <c r="A301" s="27" t="s">
        <v>170</v>
      </c>
      <c r="B301" s="27" t="s">
        <v>163</v>
      </c>
      <c r="C301">
        <v>130</v>
      </c>
      <c r="D301">
        <v>2.89</v>
      </c>
      <c r="E301">
        <v>2.89</v>
      </c>
      <c r="F301">
        <v>1.1000000000000001</v>
      </c>
      <c r="G301">
        <v>1.1000000000000001</v>
      </c>
      <c r="H301" s="27" t="s">
        <v>111</v>
      </c>
      <c r="I301">
        <v>1.1000000000000001</v>
      </c>
    </row>
    <row r="302" spans="1:9" x14ac:dyDescent="0.2">
      <c r="A302" s="27" t="s">
        <v>169</v>
      </c>
      <c r="B302" s="27" t="s">
        <v>168</v>
      </c>
      <c r="C302">
        <v>130</v>
      </c>
      <c r="D302">
        <v>2.89</v>
      </c>
      <c r="E302">
        <v>2.89</v>
      </c>
      <c r="F302">
        <v>1.1000000000000001</v>
      </c>
      <c r="G302">
        <v>1.1000000000000001</v>
      </c>
      <c r="H302" s="27" t="s">
        <v>111</v>
      </c>
      <c r="I302">
        <v>1.1000000000000001</v>
      </c>
    </row>
    <row r="303" spans="1:9" x14ac:dyDescent="0.2">
      <c r="A303" s="27" t="s">
        <v>170</v>
      </c>
      <c r="B303" s="27" t="s">
        <v>168</v>
      </c>
      <c r="C303">
        <v>130</v>
      </c>
      <c r="D303">
        <v>2.89</v>
      </c>
      <c r="E303">
        <v>2.89</v>
      </c>
      <c r="F303">
        <v>1.1000000000000001</v>
      </c>
      <c r="G303">
        <v>1.1000000000000001</v>
      </c>
      <c r="H303" s="27" t="s">
        <v>111</v>
      </c>
      <c r="I303">
        <v>1.1000000000000001</v>
      </c>
    </row>
    <row r="304" spans="1:9" x14ac:dyDescent="0.2">
      <c r="A304" s="27" t="s">
        <v>169</v>
      </c>
      <c r="B304" s="28" t="s">
        <v>164</v>
      </c>
      <c r="C304">
        <v>130</v>
      </c>
      <c r="D304">
        <v>4.5</v>
      </c>
      <c r="E304">
        <v>3.8</v>
      </c>
      <c r="F304">
        <v>2.4</v>
      </c>
      <c r="G304">
        <v>2.2999999999999998</v>
      </c>
      <c r="H304" s="27" t="s">
        <v>88</v>
      </c>
      <c r="I304">
        <v>2.1</v>
      </c>
    </row>
    <row r="305" spans="1:9" x14ac:dyDescent="0.2">
      <c r="A305" s="28" t="s">
        <v>169</v>
      </c>
      <c r="B305" s="28" t="s">
        <v>165</v>
      </c>
      <c r="C305">
        <v>130</v>
      </c>
      <c r="D305">
        <v>4.5</v>
      </c>
      <c r="E305">
        <v>3.8</v>
      </c>
      <c r="F305">
        <v>2.4</v>
      </c>
      <c r="G305">
        <v>2.2999999999999998</v>
      </c>
      <c r="H305" s="27" t="s">
        <v>88</v>
      </c>
      <c r="I305">
        <v>2.1</v>
      </c>
    </row>
    <row r="306" spans="1:9" x14ac:dyDescent="0.2">
      <c r="A306" s="27" t="s">
        <v>170</v>
      </c>
      <c r="B306" s="28" t="s">
        <v>164</v>
      </c>
      <c r="C306">
        <v>130</v>
      </c>
      <c r="D306">
        <v>4.5</v>
      </c>
      <c r="E306">
        <v>3.8</v>
      </c>
      <c r="F306">
        <v>2.4</v>
      </c>
      <c r="G306">
        <v>2.2999999999999998</v>
      </c>
      <c r="H306" s="27" t="s">
        <v>88</v>
      </c>
      <c r="I306">
        <v>2.1</v>
      </c>
    </row>
    <row r="307" spans="1:9" x14ac:dyDescent="0.2">
      <c r="A307" s="27" t="s">
        <v>170</v>
      </c>
      <c r="B307" s="28" t="s">
        <v>165</v>
      </c>
      <c r="C307">
        <v>130</v>
      </c>
      <c r="D307">
        <v>4.5</v>
      </c>
      <c r="E307">
        <v>3.8</v>
      </c>
      <c r="F307">
        <v>2.4</v>
      </c>
      <c r="G307">
        <v>2.2999999999999998</v>
      </c>
      <c r="H307" s="27" t="s">
        <v>88</v>
      </c>
      <c r="I307">
        <v>2.1</v>
      </c>
    </row>
    <row r="308" spans="1:9" x14ac:dyDescent="0.2">
      <c r="A308" s="27" t="s">
        <v>169</v>
      </c>
      <c r="B308" s="27" t="s">
        <v>51</v>
      </c>
      <c r="C308">
        <v>130</v>
      </c>
      <c r="D308">
        <v>4.5</v>
      </c>
      <c r="E308">
        <v>3.8</v>
      </c>
      <c r="F308">
        <v>1.8</v>
      </c>
      <c r="G308">
        <v>1.7</v>
      </c>
      <c r="H308" s="27" t="s">
        <v>115</v>
      </c>
      <c r="I308">
        <v>1.5</v>
      </c>
    </row>
    <row r="309" spans="1:9" x14ac:dyDescent="0.2">
      <c r="A309" s="27" t="s">
        <v>170</v>
      </c>
      <c r="B309" s="27" t="s">
        <v>51</v>
      </c>
      <c r="C309">
        <v>130</v>
      </c>
      <c r="D309">
        <v>4.5</v>
      </c>
      <c r="E309">
        <v>3.8</v>
      </c>
      <c r="F309">
        <v>1.8</v>
      </c>
      <c r="G309">
        <v>1.7</v>
      </c>
      <c r="H309" s="27" t="s">
        <v>115</v>
      </c>
      <c r="I309">
        <v>1.5</v>
      </c>
    </row>
    <row r="310" spans="1:9" x14ac:dyDescent="0.2">
      <c r="A310" s="27" t="s">
        <v>169</v>
      </c>
      <c r="B310" s="27" t="s">
        <v>54</v>
      </c>
      <c r="C310">
        <v>130</v>
      </c>
      <c r="D310">
        <v>4.5</v>
      </c>
      <c r="E310">
        <v>3.8</v>
      </c>
      <c r="F310">
        <v>2.1</v>
      </c>
      <c r="G310">
        <v>2</v>
      </c>
      <c r="H310" s="27" t="s">
        <v>129</v>
      </c>
      <c r="I310">
        <v>1.8</v>
      </c>
    </row>
    <row r="311" spans="1:9" x14ac:dyDescent="0.2">
      <c r="A311" s="27" t="s">
        <v>170</v>
      </c>
      <c r="B311" s="27" t="s">
        <v>54</v>
      </c>
      <c r="C311">
        <v>130</v>
      </c>
      <c r="D311">
        <v>4.5</v>
      </c>
      <c r="E311">
        <v>3.8</v>
      </c>
      <c r="F311">
        <v>2.1</v>
      </c>
      <c r="G311">
        <v>2</v>
      </c>
      <c r="H311" s="27" t="s">
        <v>129</v>
      </c>
      <c r="I311">
        <v>1.8</v>
      </c>
    </row>
    <row r="312" spans="1:9" x14ac:dyDescent="0.2">
      <c r="A312" s="27" t="s">
        <v>169</v>
      </c>
      <c r="B312" s="27" t="s">
        <v>166</v>
      </c>
      <c r="C312">
        <v>130</v>
      </c>
      <c r="D312">
        <v>4.5</v>
      </c>
      <c r="E312">
        <v>3.8</v>
      </c>
      <c r="F312">
        <v>2</v>
      </c>
      <c r="G312">
        <v>1.9</v>
      </c>
      <c r="H312" s="27" t="s">
        <v>126</v>
      </c>
      <c r="I312">
        <v>1.6</v>
      </c>
    </row>
    <row r="313" spans="1:9" x14ac:dyDescent="0.2">
      <c r="A313" s="27" t="s">
        <v>170</v>
      </c>
      <c r="B313" s="27" t="s">
        <v>166</v>
      </c>
      <c r="C313">
        <v>130</v>
      </c>
      <c r="D313">
        <v>4.5</v>
      </c>
      <c r="E313">
        <v>3.8</v>
      </c>
      <c r="F313">
        <v>2</v>
      </c>
      <c r="G313">
        <v>1.9</v>
      </c>
      <c r="H313" s="27" t="s">
        <v>126</v>
      </c>
      <c r="I313">
        <v>1.6</v>
      </c>
    </row>
    <row r="314" spans="1:9" x14ac:dyDescent="0.2">
      <c r="A314" s="27" t="s">
        <v>169</v>
      </c>
      <c r="B314" s="27" t="s">
        <v>167</v>
      </c>
      <c r="C314">
        <v>130</v>
      </c>
      <c r="D314">
        <v>4.5</v>
      </c>
      <c r="E314">
        <v>3.8</v>
      </c>
      <c r="F314">
        <v>2</v>
      </c>
      <c r="G314">
        <v>1.9</v>
      </c>
      <c r="H314" s="27" t="s">
        <v>126</v>
      </c>
      <c r="I314">
        <v>1.6</v>
      </c>
    </row>
    <row r="315" spans="1:9" x14ac:dyDescent="0.2">
      <c r="A315" s="27" t="s">
        <v>170</v>
      </c>
      <c r="B315" s="27" t="s">
        <v>167</v>
      </c>
      <c r="C315">
        <v>130</v>
      </c>
      <c r="D315">
        <v>4.5</v>
      </c>
      <c r="E315">
        <v>3.8</v>
      </c>
      <c r="F315">
        <v>2</v>
      </c>
      <c r="G315">
        <v>1.9</v>
      </c>
      <c r="H315" s="27" t="s">
        <v>126</v>
      </c>
      <c r="I315">
        <v>1.6</v>
      </c>
    </row>
    <row r="316" spans="1:9" x14ac:dyDescent="0.2">
      <c r="A316" s="27" t="s">
        <v>169</v>
      </c>
      <c r="B316" s="27" t="s">
        <v>52</v>
      </c>
      <c r="C316">
        <v>130</v>
      </c>
      <c r="D316">
        <v>4.5</v>
      </c>
      <c r="E316">
        <v>3.8</v>
      </c>
      <c r="F316">
        <v>1.9</v>
      </c>
      <c r="G316">
        <v>1.8</v>
      </c>
      <c r="H316" s="27" t="s">
        <v>116</v>
      </c>
      <c r="I316">
        <v>1.6</v>
      </c>
    </row>
    <row r="317" spans="1:9" x14ac:dyDescent="0.2">
      <c r="A317" s="27" t="s">
        <v>170</v>
      </c>
      <c r="B317" s="27" t="s">
        <v>52</v>
      </c>
      <c r="C317">
        <v>130</v>
      </c>
      <c r="D317">
        <v>4.5</v>
      </c>
      <c r="E317">
        <v>3.8</v>
      </c>
      <c r="F317">
        <v>1.9</v>
      </c>
      <c r="G317">
        <v>1.8</v>
      </c>
      <c r="H317" s="27" t="s">
        <v>116</v>
      </c>
      <c r="I317">
        <v>1.6</v>
      </c>
    </row>
    <row r="318" spans="1:9" x14ac:dyDescent="0.2">
      <c r="A318" s="27" t="s">
        <v>169</v>
      </c>
      <c r="B318" s="27" t="s">
        <v>53</v>
      </c>
      <c r="C318">
        <v>130</v>
      </c>
      <c r="D318">
        <v>4.5</v>
      </c>
      <c r="E318">
        <v>3.8</v>
      </c>
      <c r="F318">
        <v>3.05</v>
      </c>
      <c r="G318">
        <v>2.95</v>
      </c>
      <c r="H318" s="27" t="s">
        <v>132</v>
      </c>
      <c r="I318">
        <v>2.75</v>
      </c>
    </row>
    <row r="319" spans="1:9" x14ac:dyDescent="0.2">
      <c r="A319" s="27" t="s">
        <v>170</v>
      </c>
      <c r="B319" s="27" t="s">
        <v>53</v>
      </c>
      <c r="C319">
        <v>130</v>
      </c>
      <c r="D319">
        <v>4.5</v>
      </c>
      <c r="E319">
        <v>3.8</v>
      </c>
      <c r="F319">
        <v>3.05</v>
      </c>
      <c r="G319">
        <v>2.95</v>
      </c>
      <c r="H319" s="27" t="s">
        <v>132</v>
      </c>
      <c r="I319">
        <v>2.75</v>
      </c>
    </row>
    <row r="320" spans="1:9" x14ac:dyDescent="0.2">
      <c r="A320" s="27" t="s">
        <v>65</v>
      </c>
      <c r="B320" s="27" t="s">
        <v>47</v>
      </c>
      <c r="C320">
        <v>100</v>
      </c>
      <c r="D320">
        <v>0.95</v>
      </c>
      <c r="E320">
        <v>0.95</v>
      </c>
      <c r="F320">
        <v>0.95</v>
      </c>
      <c r="G320">
        <v>0.95</v>
      </c>
      <c r="H320" s="27" t="s">
        <v>68</v>
      </c>
      <c r="I320">
        <v>0.8</v>
      </c>
    </row>
    <row r="321" spans="1:9" x14ac:dyDescent="0.2">
      <c r="A321" s="27" t="s">
        <v>65</v>
      </c>
      <c r="B321" s="27" t="s">
        <v>48</v>
      </c>
      <c r="C321">
        <v>100</v>
      </c>
      <c r="D321">
        <v>1</v>
      </c>
      <c r="E321">
        <v>1</v>
      </c>
      <c r="F321">
        <v>1</v>
      </c>
      <c r="G321">
        <v>1</v>
      </c>
      <c r="H321" s="27" t="s">
        <v>74</v>
      </c>
      <c r="I321">
        <v>0.85</v>
      </c>
    </row>
    <row r="322" spans="1:9" x14ac:dyDescent="0.2">
      <c r="A322" s="27" t="s">
        <v>65</v>
      </c>
      <c r="B322" s="27" t="s">
        <v>139</v>
      </c>
      <c r="C322">
        <v>100</v>
      </c>
      <c r="D322">
        <v>4.5</v>
      </c>
      <c r="E322">
        <v>3.8</v>
      </c>
      <c r="F322">
        <v>1.5</v>
      </c>
      <c r="G322">
        <v>1.4</v>
      </c>
      <c r="H322" s="27" t="s">
        <v>81</v>
      </c>
      <c r="I322">
        <v>1.2</v>
      </c>
    </row>
    <row r="323" spans="1:9" x14ac:dyDescent="0.2">
      <c r="A323" s="27" t="s">
        <v>65</v>
      </c>
      <c r="B323" s="27" t="s">
        <v>140</v>
      </c>
      <c r="C323">
        <v>100</v>
      </c>
      <c r="D323">
        <v>4.5</v>
      </c>
      <c r="E323">
        <v>3.8</v>
      </c>
      <c r="F323">
        <v>1.5</v>
      </c>
      <c r="G323">
        <v>1.4</v>
      </c>
      <c r="H323" s="27" t="s">
        <v>81</v>
      </c>
      <c r="I323">
        <v>1.2</v>
      </c>
    </row>
    <row r="324" spans="1:9" x14ac:dyDescent="0.2">
      <c r="A324" s="27" t="s">
        <v>65</v>
      </c>
      <c r="B324" s="27" t="s">
        <v>141</v>
      </c>
      <c r="C324">
        <v>100</v>
      </c>
      <c r="D324">
        <v>1.7</v>
      </c>
      <c r="E324">
        <v>1.7</v>
      </c>
      <c r="F324">
        <v>1.35</v>
      </c>
      <c r="G324">
        <v>1.25</v>
      </c>
      <c r="H324" s="27" t="s">
        <v>92</v>
      </c>
      <c r="I324">
        <v>1.05</v>
      </c>
    </row>
    <row r="325" spans="1:9" x14ac:dyDescent="0.2">
      <c r="A325" s="27" t="s">
        <v>65</v>
      </c>
      <c r="B325" s="27" t="s">
        <v>142</v>
      </c>
      <c r="C325">
        <v>100</v>
      </c>
      <c r="D325">
        <v>1.7</v>
      </c>
      <c r="E325">
        <v>1.7</v>
      </c>
      <c r="F325">
        <v>1.35</v>
      </c>
      <c r="G325">
        <v>1.25</v>
      </c>
      <c r="H325" s="27" t="s">
        <v>92</v>
      </c>
      <c r="I325">
        <v>1.05</v>
      </c>
    </row>
    <row r="326" spans="1:9" x14ac:dyDescent="0.2">
      <c r="A326" s="27" t="s">
        <v>65</v>
      </c>
      <c r="B326" s="27" t="s">
        <v>143</v>
      </c>
      <c r="C326">
        <v>100</v>
      </c>
      <c r="D326">
        <v>1.7</v>
      </c>
      <c r="E326">
        <v>1.7</v>
      </c>
      <c r="F326">
        <v>1.35</v>
      </c>
      <c r="G326">
        <v>1.25</v>
      </c>
      <c r="H326" s="27" t="s">
        <v>92</v>
      </c>
      <c r="I326">
        <v>1.05</v>
      </c>
    </row>
    <row r="327" spans="1:9" x14ac:dyDescent="0.2">
      <c r="A327" s="27" t="s">
        <v>65</v>
      </c>
      <c r="B327" s="27" t="s">
        <v>144</v>
      </c>
      <c r="C327">
        <v>100</v>
      </c>
      <c r="D327">
        <v>1.7</v>
      </c>
      <c r="E327">
        <v>1.7</v>
      </c>
      <c r="F327">
        <v>1.35</v>
      </c>
      <c r="G327">
        <v>1.25</v>
      </c>
      <c r="H327" s="27" t="s">
        <v>92</v>
      </c>
      <c r="I327">
        <v>1.05</v>
      </c>
    </row>
    <row r="328" spans="1:9" x14ac:dyDescent="0.2">
      <c r="A328" s="27" t="s">
        <v>65</v>
      </c>
      <c r="B328" s="27" t="s">
        <v>145</v>
      </c>
      <c r="C328">
        <v>100</v>
      </c>
      <c r="D328">
        <v>1.7</v>
      </c>
      <c r="E328">
        <v>1.7</v>
      </c>
      <c r="F328">
        <v>1.35</v>
      </c>
      <c r="G328">
        <v>1.25</v>
      </c>
      <c r="H328" s="27" t="s">
        <v>92</v>
      </c>
      <c r="I328">
        <v>1.05</v>
      </c>
    </row>
    <row r="329" spans="1:9" x14ac:dyDescent="0.2">
      <c r="A329" s="27" t="s">
        <v>65</v>
      </c>
      <c r="B329" s="27" t="s">
        <v>146</v>
      </c>
      <c r="C329">
        <v>100</v>
      </c>
      <c r="D329">
        <v>1.7</v>
      </c>
      <c r="E329">
        <v>1.7</v>
      </c>
      <c r="F329">
        <v>1.35</v>
      </c>
      <c r="G329">
        <v>1.25</v>
      </c>
      <c r="H329" s="27" t="s">
        <v>92</v>
      </c>
      <c r="I329">
        <v>1.05</v>
      </c>
    </row>
    <row r="330" spans="1:9" x14ac:dyDescent="0.2">
      <c r="A330" s="27" t="s">
        <v>65</v>
      </c>
      <c r="B330" s="27" t="s">
        <v>147</v>
      </c>
      <c r="C330">
        <v>100</v>
      </c>
      <c r="D330">
        <v>1.7</v>
      </c>
      <c r="E330">
        <v>1.7</v>
      </c>
      <c r="F330">
        <v>1.35</v>
      </c>
      <c r="G330">
        <v>1.25</v>
      </c>
      <c r="H330" s="27" t="s">
        <v>92</v>
      </c>
      <c r="I330">
        <v>1.05</v>
      </c>
    </row>
    <row r="331" spans="1:9" x14ac:dyDescent="0.2">
      <c r="A331" s="27" t="s">
        <v>65</v>
      </c>
      <c r="B331" s="27" t="s">
        <v>148</v>
      </c>
      <c r="C331">
        <v>100</v>
      </c>
      <c r="D331">
        <v>1.7</v>
      </c>
      <c r="E331">
        <v>1.7</v>
      </c>
      <c r="F331">
        <v>1.35</v>
      </c>
      <c r="G331">
        <v>1.25</v>
      </c>
      <c r="H331" s="27" t="s">
        <v>92</v>
      </c>
      <c r="I331">
        <v>1.05</v>
      </c>
    </row>
    <row r="332" spans="1:9" x14ac:dyDescent="0.2">
      <c r="A332" s="27" t="s">
        <v>65</v>
      </c>
      <c r="B332" s="27" t="s">
        <v>149</v>
      </c>
      <c r="C332">
        <v>100</v>
      </c>
      <c r="D332">
        <v>1.7</v>
      </c>
      <c r="E332">
        <v>1.7</v>
      </c>
      <c r="F332">
        <v>1.35</v>
      </c>
      <c r="G332">
        <v>1.25</v>
      </c>
      <c r="H332" s="27" t="s">
        <v>92</v>
      </c>
      <c r="I332">
        <v>1.05</v>
      </c>
    </row>
    <row r="333" spans="1:9" x14ac:dyDescent="0.2">
      <c r="A333" s="27" t="s">
        <v>65</v>
      </c>
      <c r="B333" s="27" t="s">
        <v>150</v>
      </c>
      <c r="C333">
        <v>100</v>
      </c>
      <c r="D333">
        <v>1.7</v>
      </c>
      <c r="E333">
        <v>1.7</v>
      </c>
      <c r="F333">
        <v>1.35</v>
      </c>
      <c r="G333">
        <v>1.25</v>
      </c>
      <c r="H333" s="27" t="s">
        <v>92</v>
      </c>
      <c r="I333">
        <v>1.05</v>
      </c>
    </row>
    <row r="334" spans="1:9" x14ac:dyDescent="0.2">
      <c r="A334" s="27" t="s">
        <v>65</v>
      </c>
      <c r="B334" s="27" t="s">
        <v>151</v>
      </c>
      <c r="C334">
        <v>100</v>
      </c>
      <c r="D334">
        <v>1.7</v>
      </c>
      <c r="E334">
        <v>1.7</v>
      </c>
      <c r="F334">
        <v>1.35</v>
      </c>
      <c r="G334">
        <v>1.25</v>
      </c>
      <c r="H334" s="27" t="s">
        <v>92</v>
      </c>
      <c r="I334">
        <v>1.05</v>
      </c>
    </row>
    <row r="335" spans="1:9" x14ac:dyDescent="0.2">
      <c r="A335" s="27" t="s">
        <v>65</v>
      </c>
      <c r="B335" s="27" t="s">
        <v>152</v>
      </c>
      <c r="C335">
        <v>100</v>
      </c>
      <c r="D335">
        <v>1.55</v>
      </c>
      <c r="E335">
        <v>1.55</v>
      </c>
      <c r="F335">
        <v>1.2</v>
      </c>
      <c r="G335">
        <v>1.1000000000000001</v>
      </c>
      <c r="H335" s="27" t="s">
        <v>73</v>
      </c>
      <c r="I335">
        <v>0.9</v>
      </c>
    </row>
    <row r="336" spans="1:9" x14ac:dyDescent="0.2">
      <c r="A336" s="27" t="s">
        <v>65</v>
      </c>
      <c r="B336" s="27" t="s">
        <v>153</v>
      </c>
      <c r="C336">
        <v>100</v>
      </c>
      <c r="D336">
        <v>1.55</v>
      </c>
      <c r="E336">
        <v>1.55</v>
      </c>
      <c r="F336">
        <v>1.2</v>
      </c>
      <c r="G336">
        <v>1.1000000000000001</v>
      </c>
      <c r="H336" s="27" t="s">
        <v>73</v>
      </c>
      <c r="I336">
        <v>0.9</v>
      </c>
    </row>
    <row r="337" spans="1:9" x14ac:dyDescent="0.2">
      <c r="A337" s="27" t="s">
        <v>65</v>
      </c>
      <c r="B337" s="27" t="s">
        <v>154</v>
      </c>
      <c r="C337">
        <v>100</v>
      </c>
      <c r="D337">
        <v>1.55</v>
      </c>
      <c r="E337">
        <v>1.55</v>
      </c>
      <c r="F337">
        <v>1.2</v>
      </c>
      <c r="G337">
        <v>1.1000000000000001</v>
      </c>
      <c r="H337" s="27" t="s">
        <v>73</v>
      </c>
      <c r="I337">
        <v>0.9</v>
      </c>
    </row>
    <row r="338" spans="1:9" x14ac:dyDescent="0.2">
      <c r="A338" s="27" t="s">
        <v>65</v>
      </c>
      <c r="B338" s="27" t="s">
        <v>155</v>
      </c>
      <c r="C338">
        <v>100</v>
      </c>
      <c r="D338">
        <v>1.55</v>
      </c>
      <c r="E338">
        <v>1.55</v>
      </c>
      <c r="F338">
        <v>1.2</v>
      </c>
      <c r="G338">
        <v>1.1000000000000001</v>
      </c>
      <c r="H338" s="27" t="s">
        <v>73</v>
      </c>
      <c r="I338">
        <v>0.9</v>
      </c>
    </row>
    <row r="339" spans="1:9" x14ac:dyDescent="0.2">
      <c r="A339" s="27" t="s">
        <v>65</v>
      </c>
      <c r="B339" s="27" t="s">
        <v>156</v>
      </c>
      <c r="C339">
        <v>100</v>
      </c>
      <c r="D339">
        <v>1.55</v>
      </c>
      <c r="E339">
        <v>1.55</v>
      </c>
      <c r="F339">
        <v>1.2</v>
      </c>
      <c r="G339">
        <v>1.1000000000000001</v>
      </c>
      <c r="H339" s="27" t="s">
        <v>73</v>
      </c>
      <c r="I339">
        <v>0.9</v>
      </c>
    </row>
    <row r="340" spans="1:9" x14ac:dyDescent="0.2">
      <c r="A340" s="27" t="s">
        <v>65</v>
      </c>
      <c r="B340" s="27" t="s">
        <v>158</v>
      </c>
      <c r="C340">
        <v>100</v>
      </c>
      <c r="D340">
        <v>1.55</v>
      </c>
      <c r="E340">
        <v>1.55</v>
      </c>
      <c r="F340">
        <v>1.2</v>
      </c>
      <c r="G340">
        <v>1.1000000000000001</v>
      </c>
      <c r="H340" s="27" t="s">
        <v>73</v>
      </c>
      <c r="I340">
        <v>0.9</v>
      </c>
    </row>
    <row r="341" spans="1:9" x14ac:dyDescent="0.2">
      <c r="A341" s="27" t="s">
        <v>65</v>
      </c>
      <c r="B341" s="27" t="s">
        <v>159</v>
      </c>
      <c r="C341">
        <v>100</v>
      </c>
      <c r="D341">
        <v>1.55</v>
      </c>
      <c r="E341">
        <v>1.55</v>
      </c>
      <c r="F341">
        <v>1.2</v>
      </c>
      <c r="G341">
        <v>1.1000000000000001</v>
      </c>
      <c r="H341" s="27" t="s">
        <v>73</v>
      </c>
      <c r="I341">
        <v>0.9</v>
      </c>
    </row>
    <row r="342" spans="1:9" x14ac:dyDescent="0.2">
      <c r="A342" s="27" t="s">
        <v>65</v>
      </c>
      <c r="B342" s="27" t="s">
        <v>160</v>
      </c>
      <c r="C342">
        <v>100</v>
      </c>
      <c r="D342">
        <v>1.55</v>
      </c>
      <c r="E342">
        <v>1.55</v>
      </c>
      <c r="F342">
        <v>1.2</v>
      </c>
      <c r="G342">
        <v>1.1000000000000001</v>
      </c>
      <c r="H342" s="27" t="s">
        <v>73</v>
      </c>
      <c r="I342">
        <v>0.9</v>
      </c>
    </row>
    <row r="343" spans="1:9" x14ac:dyDescent="0.2">
      <c r="A343" s="27" t="s">
        <v>65</v>
      </c>
      <c r="B343" s="27" t="s">
        <v>161</v>
      </c>
      <c r="C343">
        <v>100</v>
      </c>
      <c r="D343">
        <v>1.55</v>
      </c>
      <c r="E343">
        <v>1.55</v>
      </c>
      <c r="F343">
        <v>1.2</v>
      </c>
      <c r="G343">
        <v>1.1000000000000001</v>
      </c>
      <c r="H343" s="27" t="s">
        <v>73</v>
      </c>
      <c r="I343">
        <v>0.9</v>
      </c>
    </row>
    <row r="344" spans="1:9" x14ac:dyDescent="0.2">
      <c r="A344" s="27" t="s">
        <v>65</v>
      </c>
      <c r="B344" s="27" t="s">
        <v>162</v>
      </c>
      <c r="C344">
        <v>100</v>
      </c>
      <c r="D344">
        <v>1.55</v>
      </c>
      <c r="E344">
        <v>1.55</v>
      </c>
      <c r="F344">
        <v>1.2</v>
      </c>
      <c r="G344">
        <v>1.1000000000000001</v>
      </c>
      <c r="H344" s="27" t="s">
        <v>73</v>
      </c>
      <c r="I344">
        <v>0.9</v>
      </c>
    </row>
    <row r="345" spans="1:9" x14ac:dyDescent="0.2">
      <c r="A345" s="27" t="s">
        <v>65</v>
      </c>
      <c r="B345" s="27" t="s">
        <v>163</v>
      </c>
      <c r="C345">
        <v>100</v>
      </c>
      <c r="D345">
        <v>1.55</v>
      </c>
      <c r="E345">
        <v>1.55</v>
      </c>
      <c r="F345">
        <v>1.2</v>
      </c>
      <c r="G345">
        <v>1.1000000000000001</v>
      </c>
      <c r="H345" s="27" t="s">
        <v>73</v>
      </c>
      <c r="I345">
        <v>0.9</v>
      </c>
    </row>
    <row r="346" spans="1:9" x14ac:dyDescent="0.2">
      <c r="A346" s="27" t="s">
        <v>65</v>
      </c>
      <c r="B346" s="27" t="s">
        <v>157</v>
      </c>
      <c r="C346">
        <v>100</v>
      </c>
      <c r="D346">
        <v>1.55</v>
      </c>
      <c r="E346">
        <v>1.55</v>
      </c>
      <c r="F346">
        <v>1.2</v>
      </c>
      <c r="G346">
        <v>1.1000000000000001</v>
      </c>
      <c r="H346" s="27" t="s">
        <v>73</v>
      </c>
      <c r="I346">
        <v>0.9</v>
      </c>
    </row>
    <row r="347" spans="1:9" x14ac:dyDescent="0.2">
      <c r="A347" s="27" t="s">
        <v>65</v>
      </c>
      <c r="B347" s="27" t="s">
        <v>52</v>
      </c>
      <c r="C347">
        <v>100</v>
      </c>
      <c r="D347">
        <v>4.5</v>
      </c>
      <c r="E347">
        <v>3.8</v>
      </c>
      <c r="F347">
        <v>1.55</v>
      </c>
      <c r="G347">
        <v>1.45</v>
      </c>
      <c r="H347" s="27" t="s">
        <v>107</v>
      </c>
      <c r="I347">
        <v>1.25</v>
      </c>
    </row>
    <row r="348" spans="1:9" x14ac:dyDescent="0.2">
      <c r="A348" s="27" t="s">
        <v>65</v>
      </c>
      <c r="B348" s="27" t="s">
        <v>51</v>
      </c>
      <c r="C348">
        <v>100</v>
      </c>
      <c r="D348">
        <v>4.5</v>
      </c>
      <c r="E348">
        <v>3.8</v>
      </c>
      <c r="F348">
        <v>1.6</v>
      </c>
      <c r="G348">
        <v>1.5</v>
      </c>
      <c r="H348" s="27" t="s">
        <v>80</v>
      </c>
      <c r="I348">
        <v>1.3</v>
      </c>
    </row>
    <row r="349" spans="1:9" x14ac:dyDescent="0.2">
      <c r="A349" s="27" t="s">
        <v>65</v>
      </c>
      <c r="B349" s="27" t="s">
        <v>166</v>
      </c>
      <c r="C349">
        <v>100</v>
      </c>
      <c r="D349">
        <v>4.5</v>
      </c>
      <c r="E349">
        <v>3.8</v>
      </c>
      <c r="F349">
        <v>2.1</v>
      </c>
      <c r="G349">
        <v>2</v>
      </c>
      <c r="H349" s="27">
        <v>1.9</v>
      </c>
      <c r="I349">
        <v>1.7</v>
      </c>
    </row>
    <row r="350" spans="1:9" x14ac:dyDescent="0.2">
      <c r="A350" s="27" t="s">
        <v>65</v>
      </c>
      <c r="B350" s="27" t="s">
        <v>167</v>
      </c>
      <c r="C350">
        <v>100</v>
      </c>
      <c r="D350">
        <v>4.5</v>
      </c>
      <c r="E350">
        <v>3.8</v>
      </c>
      <c r="F350">
        <v>2.1</v>
      </c>
      <c r="G350">
        <v>2</v>
      </c>
      <c r="H350" s="27">
        <v>1.9</v>
      </c>
      <c r="I350">
        <v>1.7</v>
      </c>
    </row>
    <row r="351" spans="1:9" x14ac:dyDescent="0.2">
      <c r="A351" s="27" t="s">
        <v>65</v>
      </c>
      <c r="B351" s="27" t="s">
        <v>164</v>
      </c>
      <c r="C351">
        <v>100</v>
      </c>
      <c r="D351">
        <v>4.5</v>
      </c>
      <c r="E351">
        <v>3.8</v>
      </c>
      <c r="F351">
        <v>2.2000000000000002</v>
      </c>
      <c r="G351">
        <v>2.1</v>
      </c>
      <c r="H351" s="27" t="s">
        <v>90</v>
      </c>
      <c r="I351">
        <v>1.9</v>
      </c>
    </row>
    <row r="352" spans="1:9" x14ac:dyDescent="0.2">
      <c r="A352" s="27" t="s">
        <v>65</v>
      </c>
      <c r="B352" s="27" t="s">
        <v>165</v>
      </c>
      <c r="C352">
        <v>100</v>
      </c>
      <c r="D352">
        <v>4.5</v>
      </c>
      <c r="E352">
        <v>3.8</v>
      </c>
      <c r="F352">
        <v>2.2000000000000002</v>
      </c>
      <c r="G352">
        <v>2.1</v>
      </c>
      <c r="H352" s="27" t="s">
        <v>90</v>
      </c>
      <c r="I352">
        <v>1.9</v>
      </c>
    </row>
    <row r="353" spans="1:9" x14ac:dyDescent="0.2">
      <c r="A353" s="27" t="s">
        <v>65</v>
      </c>
      <c r="B353" s="27" t="s">
        <v>54</v>
      </c>
      <c r="C353">
        <v>100</v>
      </c>
      <c r="D353">
        <v>4.5</v>
      </c>
      <c r="E353">
        <v>3.8</v>
      </c>
      <c r="F353">
        <v>2.2000000000000002</v>
      </c>
      <c r="G353">
        <v>2.1</v>
      </c>
      <c r="H353" s="27" t="s">
        <v>90</v>
      </c>
      <c r="I353">
        <v>1.9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2E407-6EA7-4768-B051-43990D27F552}">
  <dimension ref="A1:P354"/>
  <sheetViews>
    <sheetView tabSelected="1" topLeftCell="A299" workbookViewId="0">
      <selection activeCell="O2" sqref="O2:O354"/>
    </sheetView>
  </sheetViews>
  <sheetFormatPr baseColWidth="10" defaultRowHeight="12.75" x14ac:dyDescent="0.2"/>
  <sheetData>
    <row r="1" spans="1:16" x14ac:dyDescent="0.2">
      <c r="A1" t="s">
        <v>134</v>
      </c>
      <c r="B1" t="s">
        <v>44</v>
      </c>
      <c r="E1" t="s">
        <v>45</v>
      </c>
      <c r="F1" t="s">
        <v>46</v>
      </c>
      <c r="G1" t="s">
        <v>135</v>
      </c>
      <c r="H1" t="s">
        <v>109</v>
      </c>
      <c r="I1" t="s">
        <v>136</v>
      </c>
      <c r="J1" t="s">
        <v>137</v>
      </c>
      <c r="K1" t="s">
        <v>138</v>
      </c>
      <c r="L1" s="30" t="s">
        <v>171</v>
      </c>
      <c r="M1" s="30" t="s">
        <v>172</v>
      </c>
      <c r="N1" s="30" t="s">
        <v>173</v>
      </c>
      <c r="O1" s="30" t="s">
        <v>174</v>
      </c>
      <c r="P1" s="30" t="s">
        <v>175</v>
      </c>
    </row>
    <row r="2" spans="1:16" x14ac:dyDescent="0.2">
      <c r="A2" t="s">
        <v>55</v>
      </c>
      <c r="B2" t="s">
        <v>47</v>
      </c>
      <c r="C2" s="29">
        <f>VLOOKUP(B2,[1]!Consulta1[#All],2,FALSE)</f>
        <v>50961</v>
      </c>
      <c r="E2">
        <v>130</v>
      </c>
      <c r="F2">
        <v>2.89</v>
      </c>
      <c r="G2">
        <v>2.89</v>
      </c>
      <c r="H2">
        <v>0.85</v>
      </c>
      <c r="I2">
        <v>0.8</v>
      </c>
      <c r="J2" t="s">
        <v>70</v>
      </c>
      <c r="K2">
        <v>0.7</v>
      </c>
      <c r="L2" s="31" t="str">
        <f>CONCATENATE("&lt;p&gt;ITA 1.1 Rates all in, valid for General Cargo, Known Shipper only, screening is additional $0.10 if tendered unscreened&lt;/p&gt;&lt;p&gt;SFO drop station: 632 West Field Rd&lt;br&gt;Narrowbody service: MAX DIMS (inches) 61”L X 59W X 42”H – max pc weight 900Kg (",Q34,")&lt;/p&gt;")</f>
        <v>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</v>
      </c>
      <c r="M2" s="29">
        <f>VLOOKUP(A2,[1]!Consulta1[#All],2,FALSE)</f>
        <v>38</v>
      </c>
      <c r="N2" s="30">
        <v>4</v>
      </c>
      <c r="O2" s="29" t="str">
        <f>CONCATENATE("insert tariffs (origin_id,destin_id,provider_id,airline_id,comodity_id,min,n,comments,active,user_id,type_tariff,forty_five_more,hundred_more,three_hundred_more,five_hundred_more,thousand_more,f_end,created_at,updated_at,airchaft,cost, offer) values ('",M2,"','",C2,"','8265','8299','",$N$2,"','",E2,"','",F2,"','",$L$2,"',1,1,3,'",G2,"','",H2,"','",I2,"','",J2,"','",K2,"','2025-09-30',now(),now(),2,'",P2,"','1');")</f>
        <v>insert tariffs (origin_id,destin_id,provider_id,airline_id,comodity_id,min,n,comments,active,user_id,type_tariff,forty_five_more,hundred_more,three_hundred_more,five_hundred_more,thousand_more,f_end,created_at,updated_at,airchaft,cost, offer) values ('38','50961','8265','8299','4','130','2.89','&lt;p&gt;ITA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()&lt;/p&gt;',1,1,3,'2.89','0.85','0.8','0.75','0.7','2025-09-30',now(),now(),2,'0.1','1');</v>
      </c>
      <c r="P2" s="30">
        <v>0.1</v>
      </c>
    </row>
    <row r="3" spans="1:16" x14ac:dyDescent="0.2">
      <c r="A3" t="s">
        <v>55</v>
      </c>
      <c r="B3" t="s">
        <v>48</v>
      </c>
      <c r="C3" s="29">
        <f>VLOOKUP(B3,[1]!Consulta1[#All],2,FALSE)</f>
        <v>49720</v>
      </c>
      <c r="E3">
        <v>130</v>
      </c>
      <c r="F3">
        <v>2.89</v>
      </c>
      <c r="G3">
        <v>2.89</v>
      </c>
      <c r="H3">
        <v>1.05</v>
      </c>
      <c r="I3">
        <v>1</v>
      </c>
      <c r="J3" t="s">
        <v>74</v>
      </c>
      <c r="K3">
        <v>0.9</v>
      </c>
      <c r="M3" s="29">
        <f>VLOOKUP(A3,[1]!Consulta1[#All],2,FALSE)</f>
        <v>38</v>
      </c>
      <c r="O3" s="29" t="str">
        <f t="shared" ref="O3:O66" si="0">CONCATENATE("insert tariffs (origin_id,destin_id,provider_id,airline_id,comodity_id,min,n,comments,active,user_id,type_tariff,forty_five_more,hundred_more,three_hundred_more,five_hundred_more,thousand_more,f_end,created_at,updated_at,airchaft,cost, offer) values ('",M3,"','",C3,"','8265','8299','",$N$2,"','",E3,"','",F3,"','",$L$2,"',1,1,3,'",G3,"','",H3,"','",I3,"','",J3,"','",K3,"','2025-09-30',now(),now(),2,'",P3,"','1');")</f>
        <v>insert tariffs (origin_id,destin_id,provider_id,airline_id,comodity_id,min,n,comments,active,user_id,type_tariff,forty_five_more,hundred_more,three_hundred_more,five_hundred_more,thousand_more,f_end,created_at,updated_at,airchaft,cost, offer) values ('38','49720','8265','8299','4','130','2.89','&lt;p&gt;ITA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()&lt;/p&gt;',1,1,3,'2.89','1.05','1','0.95','0.9','2025-09-30',now(),now(),2,'0.1','1');</v>
      </c>
      <c r="P3" s="30">
        <v>0.1</v>
      </c>
    </row>
    <row r="4" spans="1:16" x14ac:dyDescent="0.2">
      <c r="A4" t="s">
        <v>55</v>
      </c>
      <c r="B4" t="s">
        <v>139</v>
      </c>
      <c r="C4" s="29">
        <f>VLOOKUP(B4,[1]!Consulta1[#All],2,FALSE)</f>
        <v>39776</v>
      </c>
      <c r="E4">
        <v>130</v>
      </c>
      <c r="F4">
        <v>4.5</v>
      </c>
      <c r="G4">
        <v>3.8</v>
      </c>
      <c r="H4">
        <v>1.5</v>
      </c>
      <c r="I4">
        <v>1.4</v>
      </c>
      <c r="J4" t="s">
        <v>81</v>
      </c>
      <c r="K4">
        <v>1.2</v>
      </c>
      <c r="M4" s="29">
        <f>VLOOKUP(A4,[1]!Consulta1[#All],2,FALSE)</f>
        <v>38</v>
      </c>
      <c r="O4" s="29" t="str">
        <f>CONCATENATE("insert tariffs (origin_id,destin_id,provider_id,airline_id,comodity_id,min,n,comments,active,user_id,type_tariff,forty_five_more,hundred_more,three_hundred_more,five_hundred_more,thousand_more,f_end,created_at,updated_at,airchaft,cost, offer) values ('",M4,"','",C4,"','8265','8299','",$N$2,"','",E4,"','",F4,"','",$L$2,"',1,1,3,'",G4,"','",H4,"','",I4,"','",J4,"','",K4,"','2025-09-30',now(),now(),2,'",P4,"','1');")</f>
        <v>insert tariffs (origin_id,destin_id,provider_id,airline_id,comodity_id,min,n,comments,active,user_id,type_tariff,forty_five_more,hundred_more,three_hundred_more,five_hundred_more,thousand_more,f_end,created_at,updated_at,airchaft,cost, offer) values ('38','39776','8265','8299','4','130','4.5','&lt;p&gt;ITA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()&lt;/p&gt;',1,1,3,'3.8','1.5','1.4','1.3','1.2','2025-09-30',now(),now(),2,'0.1','1');</v>
      </c>
      <c r="P4" s="30">
        <v>0.1</v>
      </c>
    </row>
    <row r="5" spans="1:16" x14ac:dyDescent="0.2">
      <c r="A5" t="s">
        <v>55</v>
      </c>
      <c r="B5" t="s">
        <v>140</v>
      </c>
      <c r="C5" s="29">
        <f>VLOOKUP(B5,[1]!Consulta1[#All],2,FALSE)</f>
        <v>50708</v>
      </c>
      <c r="E5">
        <v>130</v>
      </c>
      <c r="F5">
        <v>4.5</v>
      </c>
      <c r="G5">
        <v>3.8</v>
      </c>
      <c r="H5">
        <v>1.5</v>
      </c>
      <c r="I5">
        <v>1.4</v>
      </c>
      <c r="J5" t="s">
        <v>81</v>
      </c>
      <c r="K5">
        <v>1.2</v>
      </c>
      <c r="M5" s="29">
        <f>VLOOKUP(A5,[1]!Consulta1[#All],2,FALSE)</f>
        <v>38</v>
      </c>
      <c r="O5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('38','50708','8265','8299','4','130','4.5','&lt;p&gt;ITA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()&lt;/p&gt;',1,1,3,'3.8','1.5','1.4','1.3','1.2','2025-09-30',now(),now(),2,'0.1','1');</v>
      </c>
      <c r="P5" s="30">
        <v>0.1</v>
      </c>
    </row>
    <row r="6" spans="1:16" x14ac:dyDescent="0.2">
      <c r="A6" t="s">
        <v>55</v>
      </c>
      <c r="B6" t="s">
        <v>49</v>
      </c>
      <c r="C6" s="29">
        <f>VLOOKUP(B6,[1]!Consulta1[#All],2,FALSE)</f>
        <v>50688</v>
      </c>
      <c r="E6">
        <v>130</v>
      </c>
      <c r="F6">
        <v>4.5</v>
      </c>
      <c r="G6">
        <v>3.8</v>
      </c>
      <c r="H6">
        <v>2.8</v>
      </c>
      <c r="I6">
        <v>2.7</v>
      </c>
      <c r="J6" t="s">
        <v>85</v>
      </c>
      <c r="K6">
        <v>2.5</v>
      </c>
      <c r="M6" s="29">
        <f>VLOOKUP(A6,[1]!Consulta1[#All],2,FALSE)</f>
        <v>38</v>
      </c>
      <c r="O6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('38','50688','8265','8299','4','130','4.5','&lt;p&gt;ITA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()&lt;/p&gt;',1,1,3,'3.8','2.8','2.7','2.6','2.5','2025-09-30',now(),now(),2,'0.1','1');</v>
      </c>
      <c r="P6" s="30">
        <v>0.1</v>
      </c>
    </row>
    <row r="7" spans="1:16" x14ac:dyDescent="0.2">
      <c r="A7" t="s">
        <v>55</v>
      </c>
      <c r="B7" t="s">
        <v>50</v>
      </c>
      <c r="C7" s="29">
        <f>VLOOKUP(B7,[1]!Consulta1[#All],2,FALSE)</f>
        <v>50891</v>
      </c>
      <c r="E7">
        <v>130</v>
      </c>
      <c r="F7">
        <v>4.5</v>
      </c>
      <c r="G7">
        <v>3.8</v>
      </c>
      <c r="H7">
        <v>2.2999999999999998</v>
      </c>
      <c r="I7">
        <v>2.2000000000000002</v>
      </c>
      <c r="J7" t="s">
        <v>89</v>
      </c>
      <c r="K7">
        <v>2</v>
      </c>
      <c r="M7" s="29">
        <f>VLOOKUP(A7,[1]!Consulta1[#All],2,FALSE)</f>
        <v>38</v>
      </c>
      <c r="O7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('38','50891','8265','8299','4','130','4.5','&lt;p&gt;ITA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()&lt;/p&gt;',1,1,3,'3.8','2.3','2.2','2.1','2','2025-09-30',now(),now(),2,'0.1','1');</v>
      </c>
      <c r="P7" s="30">
        <v>0.1</v>
      </c>
    </row>
    <row r="8" spans="1:16" x14ac:dyDescent="0.2">
      <c r="A8" t="s">
        <v>55</v>
      </c>
      <c r="B8" t="s">
        <v>141</v>
      </c>
      <c r="C8" s="29">
        <f>VLOOKUP(B8,[1]!Consulta1[#All],2,FALSE)</f>
        <v>50977</v>
      </c>
      <c r="E8">
        <v>130</v>
      </c>
      <c r="F8">
        <v>2.89</v>
      </c>
      <c r="G8">
        <v>2.89</v>
      </c>
      <c r="H8">
        <v>1.1499999999999999</v>
      </c>
      <c r="I8">
        <v>1.05</v>
      </c>
      <c r="J8" t="s">
        <v>74</v>
      </c>
      <c r="K8">
        <v>0.85</v>
      </c>
      <c r="M8" s="29">
        <f>VLOOKUP(A8,[1]!Consulta1[#All],2,FALSE)</f>
        <v>38</v>
      </c>
      <c r="O8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('38','50977','8265','8299','4','130','2.89','&lt;p&gt;ITA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()&lt;/p&gt;',1,1,3,'2.89','1.15','1.05','0.95','0.85','2025-09-30',now(),now(),2,'0.1','1');</v>
      </c>
      <c r="P8" s="30">
        <v>0.1</v>
      </c>
    </row>
    <row r="9" spans="1:16" x14ac:dyDescent="0.2">
      <c r="A9" t="s">
        <v>55</v>
      </c>
      <c r="B9" t="s">
        <v>142</v>
      </c>
      <c r="C9" s="29">
        <f>VLOOKUP(B9,[1]!Consulta1[#All],2,FALSE)</f>
        <v>51126</v>
      </c>
      <c r="E9">
        <v>130</v>
      </c>
      <c r="F9">
        <v>2.89</v>
      </c>
      <c r="G9">
        <v>2.89</v>
      </c>
      <c r="H9">
        <v>1.1499999999999999</v>
      </c>
      <c r="I9">
        <v>1.05</v>
      </c>
      <c r="J9" t="s">
        <v>74</v>
      </c>
      <c r="K9">
        <v>0.85</v>
      </c>
      <c r="M9" s="29">
        <f>VLOOKUP(A9,[1]!Consulta1[#All],2,FALSE)</f>
        <v>38</v>
      </c>
      <c r="O9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('38','51126','8265','8299','4','130','2.89','&lt;p&gt;ITA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()&lt;/p&gt;',1,1,3,'2.89','1.15','1.05','0.95','0.85','2025-09-30',now(),now(),2,'0.1','1');</v>
      </c>
      <c r="P9" s="30">
        <v>0.1</v>
      </c>
    </row>
    <row r="10" spans="1:16" x14ac:dyDescent="0.2">
      <c r="A10" t="s">
        <v>55</v>
      </c>
      <c r="B10" t="s">
        <v>143</v>
      </c>
      <c r="C10" s="29">
        <f>VLOOKUP(B10,[1]!Consulta1[#All],2,FALSE)</f>
        <v>50969</v>
      </c>
      <c r="E10">
        <v>130</v>
      </c>
      <c r="F10">
        <v>2.89</v>
      </c>
      <c r="G10">
        <v>2.89</v>
      </c>
      <c r="H10">
        <v>1.1499999999999999</v>
      </c>
      <c r="I10">
        <v>1.05</v>
      </c>
      <c r="J10" t="s">
        <v>74</v>
      </c>
      <c r="K10">
        <v>0.85</v>
      </c>
      <c r="M10" s="29">
        <f>VLOOKUP(A10,[1]!Consulta1[#All],2,FALSE)</f>
        <v>38</v>
      </c>
      <c r="O10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('38','50969','8265','8299','4','130','2.89','&lt;p&gt;ITA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()&lt;/p&gt;',1,1,3,'2.89','1.15','1.05','0.95','0.85','2025-09-30',now(),now(),2,'0.1','1');</v>
      </c>
      <c r="P10" s="30">
        <v>0.1</v>
      </c>
    </row>
    <row r="11" spans="1:16" x14ac:dyDescent="0.2">
      <c r="A11" t="s">
        <v>55</v>
      </c>
      <c r="B11" t="s">
        <v>144</v>
      </c>
      <c r="C11" s="29">
        <f>VLOOKUP(B11,[1]!Consulta1[#All],2,FALSE)</f>
        <v>50970</v>
      </c>
      <c r="E11">
        <v>130</v>
      </c>
      <c r="F11">
        <v>2.89</v>
      </c>
      <c r="G11">
        <v>2.89</v>
      </c>
      <c r="H11">
        <v>1.1499999999999999</v>
      </c>
      <c r="I11">
        <v>1.05</v>
      </c>
      <c r="J11" t="s">
        <v>74</v>
      </c>
      <c r="K11">
        <v>0.85</v>
      </c>
      <c r="M11" s="29">
        <f>VLOOKUP(A11,[1]!Consulta1[#All],2,FALSE)</f>
        <v>38</v>
      </c>
      <c r="O11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('38','50970','8265','8299','4','130','2.89','&lt;p&gt;ITA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()&lt;/p&gt;',1,1,3,'2.89','1.15','1.05','0.95','0.85','2025-09-30',now(),now(),2,'0.1','1');</v>
      </c>
      <c r="P11" s="30">
        <v>0.1</v>
      </c>
    </row>
    <row r="12" spans="1:16" x14ac:dyDescent="0.2">
      <c r="A12" t="s">
        <v>55</v>
      </c>
      <c r="B12" t="s">
        <v>145</v>
      </c>
      <c r="C12" s="29">
        <f>VLOOKUP(B12,[1]!Consulta1[#All],2,FALSE)</f>
        <v>50972</v>
      </c>
      <c r="E12">
        <v>130</v>
      </c>
      <c r="F12">
        <v>2.89</v>
      </c>
      <c r="G12">
        <v>2.89</v>
      </c>
      <c r="H12">
        <v>1.1499999999999999</v>
      </c>
      <c r="I12">
        <v>1.05</v>
      </c>
      <c r="J12" t="s">
        <v>74</v>
      </c>
      <c r="K12">
        <v>0.85</v>
      </c>
      <c r="M12" s="29">
        <f>VLOOKUP(A12,[1]!Consulta1[#All],2,FALSE)</f>
        <v>38</v>
      </c>
      <c r="O12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('38','50972','8265','8299','4','130','2.89','&lt;p&gt;ITA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()&lt;/p&gt;',1,1,3,'2.89','1.15','1.05','0.95','0.85','2025-09-30',now(),now(),2,'0.1','1');</v>
      </c>
      <c r="P12" s="30">
        <v>0.1</v>
      </c>
    </row>
    <row r="13" spans="1:16" x14ac:dyDescent="0.2">
      <c r="A13" t="s">
        <v>55</v>
      </c>
      <c r="B13" t="s">
        <v>146</v>
      </c>
      <c r="C13" s="29">
        <f>VLOOKUP(B13,[1]!Consulta1[#All],2,FALSE)</f>
        <v>51381</v>
      </c>
      <c r="E13">
        <v>130</v>
      </c>
      <c r="F13">
        <v>2.89</v>
      </c>
      <c r="G13">
        <v>2.89</v>
      </c>
      <c r="H13">
        <v>1.1499999999999999</v>
      </c>
      <c r="I13">
        <v>1.05</v>
      </c>
      <c r="J13" t="s">
        <v>74</v>
      </c>
      <c r="K13">
        <v>0.85</v>
      </c>
      <c r="M13" s="29">
        <f>VLOOKUP(A13,[1]!Consulta1[#All],2,FALSE)</f>
        <v>38</v>
      </c>
      <c r="O13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('38','51381','8265','8299','4','130','2.89','&lt;p&gt;ITA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()&lt;/p&gt;',1,1,3,'2.89','1.15','1.05','0.95','0.85','2025-09-30',now(),now(),2,'0.1','1');</v>
      </c>
      <c r="P13" s="30">
        <v>0.1</v>
      </c>
    </row>
    <row r="14" spans="1:16" x14ac:dyDescent="0.2">
      <c r="A14" t="s">
        <v>55</v>
      </c>
      <c r="B14" t="s">
        <v>147</v>
      </c>
      <c r="C14" s="29">
        <f>VLOOKUP(B14,[1]!Consulta1[#All],2,FALSE)</f>
        <v>51285</v>
      </c>
      <c r="E14">
        <v>130</v>
      </c>
      <c r="F14">
        <v>2.89</v>
      </c>
      <c r="G14">
        <v>2.89</v>
      </c>
      <c r="H14">
        <v>1.1499999999999999</v>
      </c>
      <c r="I14">
        <v>1.05</v>
      </c>
      <c r="J14" t="s">
        <v>74</v>
      </c>
      <c r="K14">
        <v>0.85</v>
      </c>
      <c r="M14" s="29">
        <f>VLOOKUP(A14,[1]!Consulta1[#All],2,FALSE)</f>
        <v>38</v>
      </c>
      <c r="O14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('38','51285','8265','8299','4','130','2.89','&lt;p&gt;ITA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()&lt;/p&gt;',1,1,3,'2.89','1.15','1.05','0.95','0.85','2025-09-30',now(),now(),2,'0.1','1');</v>
      </c>
      <c r="P14" s="30">
        <v>0.1</v>
      </c>
    </row>
    <row r="15" spans="1:16" x14ac:dyDescent="0.2">
      <c r="A15" t="s">
        <v>55</v>
      </c>
      <c r="B15" t="s">
        <v>148</v>
      </c>
      <c r="C15" s="29">
        <f>VLOOKUP(B15,[1]!Consulta1[#All],2,FALSE)</f>
        <v>51147</v>
      </c>
      <c r="E15">
        <v>130</v>
      </c>
      <c r="F15">
        <v>2.89</v>
      </c>
      <c r="G15">
        <v>2.89</v>
      </c>
      <c r="H15">
        <v>1.1499999999999999</v>
      </c>
      <c r="I15">
        <v>1.05</v>
      </c>
      <c r="J15" t="s">
        <v>74</v>
      </c>
      <c r="K15">
        <v>0.85</v>
      </c>
      <c r="M15" s="29">
        <f>VLOOKUP(A15,[1]!Consulta1[#All],2,FALSE)</f>
        <v>38</v>
      </c>
      <c r="O15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('38','51147','8265','8299','4','130','2.89','&lt;p&gt;ITA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()&lt;/p&gt;',1,1,3,'2.89','1.15','1.05','0.95','0.85','2025-09-30',now(),now(),2,'0.1','1');</v>
      </c>
      <c r="P15" s="30">
        <v>0.1</v>
      </c>
    </row>
    <row r="16" spans="1:16" x14ac:dyDescent="0.2">
      <c r="A16" t="s">
        <v>55</v>
      </c>
      <c r="B16" t="s">
        <v>149</v>
      </c>
      <c r="C16" s="29">
        <f>VLOOKUP(B16,[1]!Consulta1[#All],2,FALSE)</f>
        <v>53322</v>
      </c>
      <c r="E16">
        <v>130</v>
      </c>
      <c r="F16">
        <v>2.89</v>
      </c>
      <c r="G16">
        <v>2.89</v>
      </c>
      <c r="H16">
        <v>1.1499999999999999</v>
      </c>
      <c r="I16">
        <v>1.05</v>
      </c>
      <c r="J16" t="s">
        <v>74</v>
      </c>
      <c r="K16">
        <v>0.85</v>
      </c>
      <c r="M16" s="29">
        <f>VLOOKUP(A16,[1]!Consulta1[#All],2,FALSE)</f>
        <v>38</v>
      </c>
      <c r="O16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('38','53322','8265','8299','4','130','2.89','&lt;p&gt;ITA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()&lt;/p&gt;',1,1,3,'2.89','1.15','1.05','0.95','0.85','2025-09-30',now(),now(),2,'0.1','1');</v>
      </c>
      <c r="P16" s="30">
        <v>0.1</v>
      </c>
    </row>
    <row r="17" spans="1:16" x14ac:dyDescent="0.2">
      <c r="A17" t="s">
        <v>55</v>
      </c>
      <c r="B17" t="s">
        <v>150</v>
      </c>
      <c r="C17" s="29">
        <f>VLOOKUP(B17,[1]!Consulta1[#All],2,FALSE)</f>
        <v>51286</v>
      </c>
      <c r="E17">
        <v>130</v>
      </c>
      <c r="F17">
        <v>2.89</v>
      </c>
      <c r="G17">
        <v>2.89</v>
      </c>
      <c r="H17">
        <v>1.1499999999999999</v>
      </c>
      <c r="I17">
        <v>1.05</v>
      </c>
      <c r="J17" t="s">
        <v>74</v>
      </c>
      <c r="K17">
        <v>0.85</v>
      </c>
      <c r="M17" s="29">
        <f>VLOOKUP(A17,[1]!Consulta1[#All],2,FALSE)</f>
        <v>38</v>
      </c>
      <c r="O17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('38','51286','8265','8299','4','130','2.89','&lt;p&gt;ITA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()&lt;/p&gt;',1,1,3,'2.89','1.15','1.05','0.95','0.85','2025-09-30',now(),now(),2,'0.1','1');</v>
      </c>
      <c r="P17" s="30">
        <v>0.1</v>
      </c>
    </row>
    <row r="18" spans="1:16" x14ac:dyDescent="0.2">
      <c r="A18" t="s">
        <v>55</v>
      </c>
      <c r="B18" t="s">
        <v>151</v>
      </c>
      <c r="C18" s="29">
        <f>VLOOKUP(B18,[1]!Consulta1[#All],2,FALSE)</f>
        <v>51287</v>
      </c>
      <c r="E18">
        <v>130</v>
      </c>
      <c r="F18">
        <v>2.89</v>
      </c>
      <c r="G18">
        <v>2.89</v>
      </c>
      <c r="H18">
        <v>1.1499999999999999</v>
      </c>
      <c r="I18">
        <v>1.05</v>
      </c>
      <c r="J18" t="s">
        <v>74</v>
      </c>
      <c r="K18">
        <v>0.85</v>
      </c>
      <c r="M18" s="29">
        <f>VLOOKUP(A18,[1]!Consulta1[#All],2,FALSE)</f>
        <v>38</v>
      </c>
      <c r="O18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('38','51287','8265','8299','4','130','2.89','&lt;p&gt;ITA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()&lt;/p&gt;',1,1,3,'2.89','1.15','1.05','0.95','0.85','2025-09-30',now(),now(),2,'0.1','1');</v>
      </c>
      <c r="P18" s="30">
        <v>0.1</v>
      </c>
    </row>
    <row r="19" spans="1:16" x14ac:dyDescent="0.2">
      <c r="A19" t="s">
        <v>55</v>
      </c>
      <c r="B19" t="s">
        <v>152</v>
      </c>
      <c r="C19" s="29">
        <f>VLOOKUP(B19,[1]!Consulta1[#All],2,FALSE)</f>
        <v>1097</v>
      </c>
      <c r="E19">
        <v>130</v>
      </c>
      <c r="F19">
        <v>2.89</v>
      </c>
      <c r="G19">
        <v>2.89</v>
      </c>
      <c r="H19">
        <v>1.1499999999999999</v>
      </c>
      <c r="I19">
        <v>1.05</v>
      </c>
      <c r="J19" t="s">
        <v>74</v>
      </c>
      <c r="K19">
        <v>0.85</v>
      </c>
      <c r="M19" s="29">
        <f>VLOOKUP(A19,[1]!Consulta1[#All],2,FALSE)</f>
        <v>38</v>
      </c>
      <c r="O19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('38','1097','8265','8299','4','130','2.89','&lt;p&gt;ITA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()&lt;/p&gt;',1,1,3,'2.89','1.15','1.05','0.95','0.85','2025-09-30',now(),now(),2,'0.1','1');</v>
      </c>
      <c r="P19" s="30">
        <v>0.1</v>
      </c>
    </row>
    <row r="20" spans="1:16" x14ac:dyDescent="0.2">
      <c r="A20" t="s">
        <v>55</v>
      </c>
      <c r="B20" t="s">
        <v>153</v>
      </c>
      <c r="C20" s="29">
        <f>VLOOKUP(B20,[1]!Consulta1[#All],2,FALSE)</f>
        <v>39774</v>
      </c>
      <c r="E20">
        <v>130</v>
      </c>
      <c r="F20">
        <v>2.89</v>
      </c>
      <c r="G20">
        <v>2.89</v>
      </c>
      <c r="H20">
        <v>1.1499999999999999</v>
      </c>
      <c r="I20">
        <v>1.05</v>
      </c>
      <c r="J20" t="s">
        <v>74</v>
      </c>
      <c r="K20">
        <v>0.85</v>
      </c>
      <c r="M20" s="29">
        <f>VLOOKUP(A20,[1]!Consulta1[#All],2,FALSE)</f>
        <v>38</v>
      </c>
      <c r="O20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('38','39774','8265','8299','4','130','2.89','&lt;p&gt;ITA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()&lt;/p&gt;',1,1,3,'2.89','1.15','1.05','0.95','0.85','2025-09-30',now(),now(),2,'0.1','1');</v>
      </c>
      <c r="P20" s="30">
        <v>0.1</v>
      </c>
    </row>
    <row r="21" spans="1:16" x14ac:dyDescent="0.2">
      <c r="A21" t="s">
        <v>55</v>
      </c>
      <c r="B21" t="s">
        <v>154</v>
      </c>
      <c r="C21" s="29">
        <f>VLOOKUP(B21,[1]!Consulta1[#All],2,FALSE)</f>
        <v>50862</v>
      </c>
      <c r="E21">
        <v>130</v>
      </c>
      <c r="F21">
        <v>2.89</v>
      </c>
      <c r="G21">
        <v>2.89</v>
      </c>
      <c r="H21">
        <v>1.1499999999999999</v>
      </c>
      <c r="I21">
        <v>1.05</v>
      </c>
      <c r="J21" t="s">
        <v>74</v>
      </c>
      <c r="K21">
        <v>0.85</v>
      </c>
      <c r="M21" s="29">
        <f>VLOOKUP(A21,[1]!Consulta1[#All],2,FALSE)</f>
        <v>38</v>
      </c>
      <c r="O21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('38','50862','8265','8299','4','130','2.89','&lt;p&gt;ITA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()&lt;/p&gt;',1,1,3,'2.89','1.15','1.05','0.95','0.85','2025-09-30',now(),now(),2,'0.1','1');</v>
      </c>
      <c r="P21" s="30">
        <v>0.1</v>
      </c>
    </row>
    <row r="22" spans="1:16" x14ac:dyDescent="0.2">
      <c r="A22" t="s">
        <v>55</v>
      </c>
      <c r="B22" t="s">
        <v>155</v>
      </c>
      <c r="C22" s="29">
        <f>VLOOKUP(B22,[1]!Consulta1[#All],2,FALSE)</f>
        <v>39775</v>
      </c>
      <c r="E22">
        <v>130</v>
      </c>
      <c r="F22">
        <v>2.89</v>
      </c>
      <c r="G22">
        <v>2.89</v>
      </c>
      <c r="H22">
        <v>1.1499999999999999</v>
      </c>
      <c r="I22">
        <v>1.05</v>
      </c>
      <c r="J22" t="s">
        <v>74</v>
      </c>
      <c r="K22">
        <v>0.85</v>
      </c>
      <c r="M22" s="29">
        <f>VLOOKUP(A22,[1]!Consulta1[#All],2,FALSE)</f>
        <v>38</v>
      </c>
      <c r="O22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('38','39775','8265','8299','4','130','2.89','&lt;p&gt;ITA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()&lt;/p&gt;',1,1,3,'2.89','1.15','1.05','0.95','0.85','2025-09-30',now(),now(),2,'0.1','1');</v>
      </c>
      <c r="P22" s="30">
        <v>0.1</v>
      </c>
    </row>
    <row r="23" spans="1:16" x14ac:dyDescent="0.2">
      <c r="A23" t="s">
        <v>55</v>
      </c>
      <c r="B23" t="s">
        <v>156</v>
      </c>
      <c r="C23" s="29">
        <f>VLOOKUP(B23,[1]!Consulta1[#All],2,FALSE)</f>
        <v>50842</v>
      </c>
      <c r="E23">
        <v>130</v>
      </c>
      <c r="F23">
        <v>2.89</v>
      </c>
      <c r="G23">
        <v>2.89</v>
      </c>
      <c r="H23">
        <v>1.1499999999999999</v>
      </c>
      <c r="I23">
        <v>1.05</v>
      </c>
      <c r="J23" t="s">
        <v>74</v>
      </c>
      <c r="K23">
        <v>0.85</v>
      </c>
      <c r="M23" s="29">
        <f>VLOOKUP(A23,[1]!Consulta1[#All],2,FALSE)</f>
        <v>38</v>
      </c>
      <c r="O23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('38','50842','8265','8299','4','130','2.89','&lt;p&gt;ITA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()&lt;/p&gt;',1,1,3,'2.89','1.15','1.05','0.95','0.85','2025-09-30',now(),now(),2,'0.1','1');</v>
      </c>
      <c r="P23" s="30">
        <v>0.1</v>
      </c>
    </row>
    <row r="24" spans="1:16" x14ac:dyDescent="0.2">
      <c r="A24" t="s">
        <v>55</v>
      </c>
      <c r="B24" t="s">
        <v>157</v>
      </c>
      <c r="C24" s="29">
        <f>VLOOKUP(B24,[1]!Consulta1[#All],2,FALSE)</f>
        <v>50995</v>
      </c>
      <c r="E24">
        <v>130</v>
      </c>
      <c r="F24">
        <v>2.89</v>
      </c>
      <c r="G24">
        <v>2.89</v>
      </c>
      <c r="H24">
        <v>1.1499999999999999</v>
      </c>
      <c r="I24">
        <v>1.05</v>
      </c>
      <c r="J24" t="s">
        <v>74</v>
      </c>
      <c r="K24">
        <v>0.85</v>
      </c>
      <c r="M24" s="29">
        <f>VLOOKUP(A24,[1]!Consulta1[#All],2,FALSE)</f>
        <v>38</v>
      </c>
      <c r="O24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('38','50995','8265','8299','4','130','2.89','&lt;p&gt;ITA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()&lt;/p&gt;',1,1,3,'2.89','1.15','1.05','0.95','0.85','2025-09-30',now(),now(),2,'0.1','1');</v>
      </c>
      <c r="P24" s="30">
        <v>0.1</v>
      </c>
    </row>
    <row r="25" spans="1:16" x14ac:dyDescent="0.2">
      <c r="A25" t="s">
        <v>55</v>
      </c>
      <c r="B25" t="s">
        <v>158</v>
      </c>
      <c r="C25" s="29">
        <f>VLOOKUP(B25,[1]!Consulta1[#All],2,FALSE)</f>
        <v>50908</v>
      </c>
      <c r="E25">
        <v>130</v>
      </c>
      <c r="F25">
        <v>2.89</v>
      </c>
      <c r="G25">
        <v>2.89</v>
      </c>
      <c r="H25">
        <v>1.1499999999999999</v>
      </c>
      <c r="I25">
        <v>1.05</v>
      </c>
      <c r="J25" t="s">
        <v>74</v>
      </c>
      <c r="K25">
        <v>0.85</v>
      </c>
      <c r="M25" s="29">
        <f>VLOOKUP(A25,[1]!Consulta1[#All],2,FALSE)</f>
        <v>38</v>
      </c>
      <c r="O25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('38','50908','8265','8299','4','130','2.89','&lt;p&gt;ITA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()&lt;/p&gt;',1,1,3,'2.89','1.15','1.05','0.95','0.85','2025-09-30',now(),now(),2,'0.1','1');</v>
      </c>
      <c r="P25" s="30">
        <v>0.1</v>
      </c>
    </row>
    <row r="26" spans="1:16" x14ac:dyDescent="0.2">
      <c r="A26" t="s">
        <v>55</v>
      </c>
      <c r="B26" t="s">
        <v>159</v>
      </c>
      <c r="C26" s="29">
        <f>VLOOKUP(B26,[1]!Consulta1[#All],2,FALSE)</f>
        <v>50909</v>
      </c>
      <c r="E26">
        <v>130</v>
      </c>
      <c r="F26">
        <v>2.89</v>
      </c>
      <c r="G26">
        <v>2.89</v>
      </c>
      <c r="H26">
        <v>1.1499999999999999</v>
      </c>
      <c r="I26">
        <v>1.05</v>
      </c>
      <c r="J26" t="s">
        <v>74</v>
      </c>
      <c r="K26">
        <v>0.85</v>
      </c>
      <c r="M26" s="29">
        <f>VLOOKUP(A26,[1]!Consulta1[#All],2,FALSE)</f>
        <v>38</v>
      </c>
      <c r="O26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('38','50909','8265','8299','4','130','2.89','&lt;p&gt;ITA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()&lt;/p&gt;',1,1,3,'2.89','1.15','1.05','0.95','0.85','2025-09-30',now(),now(),2,'0.1','1');</v>
      </c>
      <c r="P26" s="30">
        <v>0.1</v>
      </c>
    </row>
    <row r="27" spans="1:16" x14ac:dyDescent="0.2">
      <c r="A27" t="s">
        <v>55</v>
      </c>
      <c r="B27" t="s">
        <v>160</v>
      </c>
      <c r="C27" s="29">
        <f>VLOOKUP(B27,[1]!Consulta1[#All],2,FALSE)</f>
        <v>39778</v>
      </c>
      <c r="E27">
        <v>130</v>
      </c>
      <c r="F27">
        <v>2.89</v>
      </c>
      <c r="G27">
        <v>2.89</v>
      </c>
      <c r="H27">
        <v>1.1499999999999999</v>
      </c>
      <c r="I27">
        <v>1.05</v>
      </c>
      <c r="J27" t="s">
        <v>74</v>
      </c>
      <c r="K27">
        <v>0.85</v>
      </c>
      <c r="M27" s="29">
        <f>VLOOKUP(A27,[1]!Consulta1[#All],2,FALSE)</f>
        <v>38</v>
      </c>
      <c r="O27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('38','39778','8265','8299','4','130','2.89','&lt;p&gt;ITA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()&lt;/p&gt;',1,1,3,'2.89','1.15','1.05','0.95','0.85','2025-09-30',now(),now(),2,'0.1','1');</v>
      </c>
      <c r="P27" s="30">
        <v>0.1</v>
      </c>
    </row>
    <row r="28" spans="1:16" x14ac:dyDescent="0.2">
      <c r="A28" t="s">
        <v>55</v>
      </c>
      <c r="B28" t="s">
        <v>161</v>
      </c>
      <c r="C28" s="29">
        <f>VLOOKUP(B28,[1]!Consulta1[#All],2,FALSE)</f>
        <v>50914</v>
      </c>
      <c r="E28">
        <v>130</v>
      </c>
      <c r="F28">
        <v>2.89</v>
      </c>
      <c r="G28">
        <v>2.89</v>
      </c>
      <c r="H28">
        <v>1.1499999999999999</v>
      </c>
      <c r="I28">
        <v>1.05</v>
      </c>
      <c r="J28" t="s">
        <v>74</v>
      </c>
      <c r="K28">
        <v>0.85</v>
      </c>
      <c r="M28" s="29">
        <f>VLOOKUP(A28,[1]!Consulta1[#All],2,FALSE)</f>
        <v>38</v>
      </c>
      <c r="O28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('38','50914','8265','8299','4','130','2.89','&lt;p&gt;ITA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()&lt;/p&gt;',1,1,3,'2.89','1.15','1.05','0.95','0.85','2025-09-30',now(),now(),2,'0.1','1');</v>
      </c>
      <c r="P28" s="30">
        <v>0.1</v>
      </c>
    </row>
    <row r="29" spans="1:16" x14ac:dyDescent="0.2">
      <c r="A29" t="s">
        <v>55</v>
      </c>
      <c r="B29" t="s">
        <v>162</v>
      </c>
      <c r="C29" s="29">
        <f>VLOOKUP(B29,[1]!Consulta1[#All],2,FALSE)</f>
        <v>51114</v>
      </c>
      <c r="E29">
        <v>130</v>
      </c>
      <c r="F29">
        <v>2.89</v>
      </c>
      <c r="G29">
        <v>2.89</v>
      </c>
      <c r="H29">
        <v>1.1499999999999999</v>
      </c>
      <c r="I29">
        <v>1.05</v>
      </c>
      <c r="J29" t="s">
        <v>74</v>
      </c>
      <c r="K29">
        <v>0.85</v>
      </c>
      <c r="M29" s="29">
        <f>VLOOKUP(A29,[1]!Consulta1[#All],2,FALSE)</f>
        <v>38</v>
      </c>
      <c r="O29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('38','51114','8265','8299','4','130','2.89','&lt;p&gt;ITA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()&lt;/p&gt;',1,1,3,'2.89','1.15','1.05','0.95','0.85','2025-09-30',now(),now(),2,'0.1','1');</v>
      </c>
      <c r="P29" s="30">
        <v>0.1</v>
      </c>
    </row>
    <row r="30" spans="1:16" x14ac:dyDescent="0.2">
      <c r="A30" t="s">
        <v>55</v>
      </c>
      <c r="B30" t="s">
        <v>163</v>
      </c>
      <c r="C30" s="29">
        <f>VLOOKUP(B30,[1]!Consulta1[#All],2,FALSE)</f>
        <v>51120</v>
      </c>
      <c r="E30">
        <v>130</v>
      </c>
      <c r="F30">
        <v>2.89</v>
      </c>
      <c r="G30">
        <v>2.89</v>
      </c>
      <c r="H30">
        <v>1.1499999999999999</v>
      </c>
      <c r="I30">
        <v>1.05</v>
      </c>
      <c r="J30" t="s">
        <v>74</v>
      </c>
      <c r="K30">
        <v>0.85</v>
      </c>
      <c r="M30" s="29">
        <f>VLOOKUP(A30,[1]!Consulta1[#All],2,FALSE)</f>
        <v>38</v>
      </c>
      <c r="O30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('38','51120','8265','8299','4','130','2.89','&lt;p&gt;ITA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()&lt;/p&gt;',1,1,3,'2.89','1.15','1.05','0.95','0.85','2025-09-30',now(),now(),2,'0.1','1');</v>
      </c>
      <c r="P30" s="30">
        <v>0.1</v>
      </c>
    </row>
    <row r="31" spans="1:16" x14ac:dyDescent="0.2">
      <c r="A31" t="s">
        <v>55</v>
      </c>
      <c r="B31" t="s">
        <v>164</v>
      </c>
      <c r="C31" s="29">
        <f>VLOOKUP(B31,[1]!Consulta1[#All],2,FALSE)</f>
        <v>51096</v>
      </c>
      <c r="E31">
        <v>130</v>
      </c>
      <c r="F31">
        <v>4.5</v>
      </c>
      <c r="G31">
        <v>3.8</v>
      </c>
      <c r="H31">
        <v>2.15</v>
      </c>
      <c r="I31">
        <v>2.0499999999999998</v>
      </c>
      <c r="J31" t="s">
        <v>100</v>
      </c>
      <c r="K31">
        <v>1.85</v>
      </c>
      <c r="M31" s="29">
        <f>VLOOKUP(A31,[1]!Consulta1[#All],2,FALSE)</f>
        <v>38</v>
      </c>
      <c r="O31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('38','51096','8265','8299','4','130','4.5','&lt;p&gt;ITA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()&lt;/p&gt;',1,1,3,'3.8','2.15','2.05','1.95','1.85','2025-09-30',now(),now(),2,'0.1','1');</v>
      </c>
      <c r="P31" s="30">
        <v>0.1</v>
      </c>
    </row>
    <row r="32" spans="1:16" x14ac:dyDescent="0.2">
      <c r="A32" t="s">
        <v>55</v>
      </c>
      <c r="B32" t="s">
        <v>165</v>
      </c>
      <c r="C32" s="29">
        <f>VLOOKUP(B32,[1]!Consulta1[#All],2,FALSE)</f>
        <v>50922</v>
      </c>
      <c r="E32">
        <v>130</v>
      </c>
      <c r="F32">
        <v>4.5</v>
      </c>
      <c r="G32">
        <v>3.8</v>
      </c>
      <c r="H32">
        <v>2.15</v>
      </c>
      <c r="I32">
        <v>2.0499999999999998</v>
      </c>
      <c r="J32" t="s">
        <v>100</v>
      </c>
      <c r="K32">
        <v>1.85</v>
      </c>
      <c r="M32" s="29">
        <f>VLOOKUP(A32,[1]!Consulta1[#All],2,FALSE)</f>
        <v>38</v>
      </c>
      <c r="O32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('38','50922','8265','8299','4','130','4.5','&lt;p&gt;ITA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()&lt;/p&gt;',1,1,3,'3.8','2.15','2.05','1.95','1.85','2025-09-30',now(),now(),2,'0.1','1');</v>
      </c>
      <c r="P32" s="30">
        <v>0.1</v>
      </c>
    </row>
    <row r="33" spans="1:16" x14ac:dyDescent="0.2">
      <c r="A33" t="s">
        <v>55</v>
      </c>
      <c r="B33" t="s">
        <v>51</v>
      </c>
      <c r="C33" s="29">
        <f>VLOOKUP(B33,[1]!Consulta1[#All],2,FALSE)</f>
        <v>50830</v>
      </c>
      <c r="E33">
        <v>130</v>
      </c>
      <c r="F33">
        <v>4.5</v>
      </c>
      <c r="G33">
        <v>3.8</v>
      </c>
      <c r="H33">
        <v>1.75</v>
      </c>
      <c r="I33">
        <v>1.65</v>
      </c>
      <c r="J33" t="s">
        <v>104</v>
      </c>
      <c r="K33">
        <v>1.45</v>
      </c>
      <c r="M33" s="29">
        <f>VLOOKUP(A33,[1]!Consulta1[#All],2,FALSE)</f>
        <v>38</v>
      </c>
      <c r="O33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('38','50830','8265','8299','4','130','4.5','&lt;p&gt;ITA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()&lt;/p&gt;',1,1,3,'3.8','1.75','1.65','1.55','1.45','2025-09-30',now(),now(),2,'0.1','1');</v>
      </c>
      <c r="P33" s="30">
        <v>0.1</v>
      </c>
    </row>
    <row r="34" spans="1:16" x14ac:dyDescent="0.2">
      <c r="A34" t="s">
        <v>55</v>
      </c>
      <c r="B34" t="s">
        <v>166</v>
      </c>
      <c r="C34" s="29">
        <f>VLOOKUP(B34,[1]!Consulta1[#All],2,FALSE)</f>
        <v>529</v>
      </c>
      <c r="E34">
        <v>130</v>
      </c>
      <c r="F34">
        <v>4.5</v>
      </c>
      <c r="G34">
        <v>3.8</v>
      </c>
      <c r="H34">
        <v>1.75</v>
      </c>
      <c r="I34">
        <v>1.65</v>
      </c>
      <c r="J34" t="s">
        <v>104</v>
      </c>
      <c r="K34">
        <v>1.35</v>
      </c>
      <c r="M34" s="29">
        <f>VLOOKUP(A34,[1]!Consulta1[#All],2,FALSE)</f>
        <v>38</v>
      </c>
      <c r="O34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('38','529','8265','8299','4','130','4.5','&lt;p&gt;ITA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()&lt;/p&gt;',1,1,3,'3.8','1.75','1.65','1.55','1.35','2025-09-30',now(),now(),2,'0.1','1');</v>
      </c>
      <c r="P34" s="30">
        <v>0.1</v>
      </c>
    </row>
    <row r="35" spans="1:16" x14ac:dyDescent="0.2">
      <c r="A35" t="s">
        <v>55</v>
      </c>
      <c r="B35" t="s">
        <v>167</v>
      </c>
      <c r="C35" s="29">
        <f>VLOOKUP(B35,[1]!Consulta1[#All],2,FALSE)</f>
        <v>50954</v>
      </c>
      <c r="E35">
        <v>130</v>
      </c>
      <c r="F35">
        <v>4.5</v>
      </c>
      <c r="G35">
        <v>3.8</v>
      </c>
      <c r="H35">
        <v>1.75</v>
      </c>
      <c r="I35">
        <v>1.65</v>
      </c>
      <c r="J35" t="s">
        <v>104</v>
      </c>
      <c r="K35">
        <v>1.35</v>
      </c>
      <c r="M35" s="29">
        <f>VLOOKUP(A35,[1]!Consulta1[#All],2,FALSE)</f>
        <v>38</v>
      </c>
      <c r="O35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('38','50954','8265','8299','4','130','4.5','&lt;p&gt;ITA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()&lt;/p&gt;',1,1,3,'3.8','1.75','1.65','1.55','1.35','2025-09-30',now(),now(),2,'0.1','1');</v>
      </c>
      <c r="P35" s="30">
        <v>0.1</v>
      </c>
    </row>
    <row r="36" spans="1:16" x14ac:dyDescent="0.2">
      <c r="A36" t="s">
        <v>55</v>
      </c>
      <c r="B36" t="s">
        <v>54</v>
      </c>
      <c r="C36" s="29">
        <f>VLOOKUP(B36,[1]!Consulta1[#All],2,FALSE)</f>
        <v>51004</v>
      </c>
      <c r="E36">
        <v>130</v>
      </c>
      <c r="F36">
        <v>4.5</v>
      </c>
      <c r="G36">
        <v>3.8</v>
      </c>
      <c r="H36">
        <v>1.75</v>
      </c>
      <c r="I36">
        <v>1.65</v>
      </c>
      <c r="J36" t="s">
        <v>104</v>
      </c>
      <c r="K36">
        <v>1.35</v>
      </c>
      <c r="M36" s="29">
        <f>VLOOKUP(A36,[1]!Consulta1[#All],2,FALSE)</f>
        <v>38</v>
      </c>
      <c r="O36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('38','51004','8265','8299','4','130','4.5','&lt;p&gt;ITA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()&lt;/p&gt;',1,1,3,'3.8','1.75','1.65','1.55','1.35','2025-09-30',now(),now(),2,'0.1','1');</v>
      </c>
      <c r="P36" s="30">
        <v>0.1</v>
      </c>
    </row>
    <row r="37" spans="1:16" x14ac:dyDescent="0.2">
      <c r="A37" t="s">
        <v>55</v>
      </c>
      <c r="B37" t="s">
        <v>52</v>
      </c>
      <c r="C37" s="29">
        <f>VLOOKUP(B37,[1]!Consulta1[#All],2,FALSE)</f>
        <v>39771</v>
      </c>
      <c r="E37">
        <v>130</v>
      </c>
      <c r="F37">
        <v>4.5</v>
      </c>
      <c r="G37">
        <v>3.8</v>
      </c>
      <c r="H37">
        <v>1.65</v>
      </c>
      <c r="I37">
        <v>1.55</v>
      </c>
      <c r="J37" t="s">
        <v>105</v>
      </c>
      <c r="K37">
        <v>1.35</v>
      </c>
      <c r="M37" s="29">
        <f>VLOOKUP(A37,[1]!Consulta1[#All],2,FALSE)</f>
        <v>38</v>
      </c>
      <c r="O37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('38','39771','8265','8299','4','130','4.5','&lt;p&gt;ITA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()&lt;/p&gt;',1,1,3,'3.8','1.65','1.55','1.45','1.35','2025-09-30',now(),now(),2,'0.1','1');</v>
      </c>
      <c r="P37" s="30">
        <v>0.1</v>
      </c>
    </row>
    <row r="38" spans="1:16" x14ac:dyDescent="0.2">
      <c r="A38" t="s">
        <v>55</v>
      </c>
      <c r="B38" t="s">
        <v>53</v>
      </c>
      <c r="C38" s="29">
        <f>VLOOKUP(B38,[1]!Consulta1[#All],2,FALSE)</f>
        <v>51092</v>
      </c>
      <c r="E38">
        <v>130</v>
      </c>
      <c r="F38">
        <v>4.5</v>
      </c>
      <c r="G38">
        <v>3.8</v>
      </c>
      <c r="H38">
        <v>2.8</v>
      </c>
      <c r="I38">
        <v>2.7</v>
      </c>
      <c r="J38" t="s">
        <v>85</v>
      </c>
      <c r="K38">
        <v>2.4</v>
      </c>
      <c r="M38" s="29">
        <f>VLOOKUP(A38,[1]!Consulta1[#All],2,FALSE)</f>
        <v>38</v>
      </c>
      <c r="O38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('38','51092','8265','8299','4','130','4.5','&lt;p&gt;ITA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()&lt;/p&gt;',1,1,3,'3.8','2.8','2.7','2.6','2.4','2025-09-30',now(),now(),2,'0.1','1');</v>
      </c>
      <c r="P38" s="30">
        <v>0.1</v>
      </c>
    </row>
    <row r="39" spans="1:16" x14ac:dyDescent="0.2">
      <c r="A39" t="s">
        <v>55</v>
      </c>
      <c r="B39" t="s">
        <v>54</v>
      </c>
      <c r="C39" s="29">
        <f>VLOOKUP(B39,[1]!Consulta1[#All],2,FALSE)</f>
        <v>51004</v>
      </c>
      <c r="E39">
        <v>130</v>
      </c>
      <c r="F39">
        <v>4.5</v>
      </c>
      <c r="G39">
        <v>3.8</v>
      </c>
      <c r="H39">
        <v>1.85</v>
      </c>
      <c r="I39">
        <v>1.75</v>
      </c>
      <c r="J39" t="s">
        <v>103</v>
      </c>
      <c r="K39">
        <v>1.55</v>
      </c>
      <c r="M39" s="29">
        <f>VLOOKUP(A39,[1]!Consulta1[#All],2,FALSE)</f>
        <v>38</v>
      </c>
      <c r="O39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('38','51004','8265','8299','4','130','4.5','&lt;p&gt;ITA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()&lt;/p&gt;',1,1,3,'3.8','1.85','1.75','1.65','1.55','2025-09-30',now(),now(),2,'0.1','1');</v>
      </c>
      <c r="P39" s="30">
        <v>0.1</v>
      </c>
    </row>
    <row r="40" spans="1:16" x14ac:dyDescent="0.2">
      <c r="A40" t="s">
        <v>56</v>
      </c>
      <c r="B40" t="s">
        <v>47</v>
      </c>
      <c r="C40" s="29">
        <f>VLOOKUP(B40,[1]!Consulta1[#All],2,FALSE)</f>
        <v>50961</v>
      </c>
      <c r="E40">
        <v>100</v>
      </c>
      <c r="F40">
        <v>0.9</v>
      </c>
      <c r="G40">
        <v>0.9</v>
      </c>
      <c r="H40">
        <v>0.9</v>
      </c>
      <c r="I40">
        <v>0.85</v>
      </c>
      <c r="J40" t="s">
        <v>69</v>
      </c>
      <c r="K40">
        <v>0.7</v>
      </c>
      <c r="M40" s="29">
        <f>VLOOKUP(A40,[1]!Consulta1[#All],2,FALSE)</f>
        <v>74</v>
      </c>
      <c r="O40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('74','50961','8265','8299','4','100','0.9','&lt;p&gt;ITA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()&lt;/p&gt;',1,1,3,'0.9','0.9','0.85','0.8','0.7','2025-09-30',now(),now(),2,'0.1','1');</v>
      </c>
      <c r="P40" s="30">
        <v>0.1</v>
      </c>
    </row>
    <row r="41" spans="1:16" x14ac:dyDescent="0.2">
      <c r="A41" t="s">
        <v>56</v>
      </c>
      <c r="B41" t="s">
        <v>48</v>
      </c>
      <c r="C41" s="29">
        <f>VLOOKUP(B41,[1]!Consulta1[#All],2,FALSE)</f>
        <v>49720</v>
      </c>
      <c r="E41">
        <v>100</v>
      </c>
      <c r="F41">
        <v>0.95</v>
      </c>
      <c r="G41">
        <v>0.95</v>
      </c>
      <c r="H41">
        <v>0.95</v>
      </c>
      <c r="I41">
        <v>0.9</v>
      </c>
      <c r="J41" t="s">
        <v>68</v>
      </c>
      <c r="K41">
        <v>0.75</v>
      </c>
      <c r="M41" s="29">
        <f>VLOOKUP(A41,[1]!Consulta1[#All],2,FALSE)</f>
        <v>74</v>
      </c>
      <c r="O41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('74','49720','8265','8299','4','100','0.95','&lt;p&gt;ITA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()&lt;/p&gt;',1,1,3,'0.95','0.95','0.9','0.85','0.75','2025-09-30',now(),now(),2,'0.1','1');</v>
      </c>
      <c r="P41" s="30">
        <v>0.1</v>
      </c>
    </row>
    <row r="42" spans="1:16" x14ac:dyDescent="0.2">
      <c r="A42" t="s">
        <v>56</v>
      </c>
      <c r="B42" t="s">
        <v>139</v>
      </c>
      <c r="C42" s="29">
        <f>VLOOKUP(B42,[1]!Consulta1[#All],2,FALSE)</f>
        <v>39776</v>
      </c>
      <c r="E42">
        <v>100</v>
      </c>
      <c r="F42">
        <v>4.5</v>
      </c>
      <c r="G42">
        <v>3.8</v>
      </c>
      <c r="H42">
        <v>1.45</v>
      </c>
      <c r="I42">
        <v>1.35</v>
      </c>
      <c r="J42" t="s">
        <v>110</v>
      </c>
      <c r="K42">
        <v>1.1499999999999999</v>
      </c>
      <c r="M42" s="29">
        <f>VLOOKUP(A42,[1]!Consulta1[#All],2,FALSE)</f>
        <v>74</v>
      </c>
      <c r="O42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('74','39776','8265','8299','4','100','4.5','&lt;p&gt;ITA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()&lt;/p&gt;',1,1,3,'3.8','1.45','1.35','1.25','1.15','2025-09-30',now(),now(),2,'0.1','1');</v>
      </c>
      <c r="P42" s="30">
        <v>0.1</v>
      </c>
    </row>
    <row r="43" spans="1:16" x14ac:dyDescent="0.2">
      <c r="A43" t="s">
        <v>56</v>
      </c>
      <c r="B43" t="s">
        <v>140</v>
      </c>
      <c r="C43" s="29">
        <f>VLOOKUP(B43,[1]!Consulta1[#All],2,FALSE)</f>
        <v>50708</v>
      </c>
      <c r="E43">
        <v>100</v>
      </c>
      <c r="F43">
        <v>4.5</v>
      </c>
      <c r="G43">
        <v>3.8</v>
      </c>
      <c r="H43">
        <v>1.45</v>
      </c>
      <c r="I43">
        <v>1.35</v>
      </c>
      <c r="J43" t="s">
        <v>110</v>
      </c>
      <c r="K43">
        <v>1.1499999999999999</v>
      </c>
      <c r="M43" s="29">
        <f>VLOOKUP(A43,[1]!Consulta1[#All],2,FALSE)</f>
        <v>74</v>
      </c>
      <c r="O43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('74','50708','8265','8299','4','100','4.5','&lt;p&gt;ITA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()&lt;/p&gt;',1,1,3,'3.8','1.45','1.35','1.25','1.15','2025-09-30',now(),now(),2,'0.1','1');</v>
      </c>
      <c r="P43" s="30">
        <v>0.1</v>
      </c>
    </row>
    <row r="44" spans="1:16" x14ac:dyDescent="0.2">
      <c r="A44" t="s">
        <v>56</v>
      </c>
      <c r="B44" t="s">
        <v>141</v>
      </c>
      <c r="C44" s="29">
        <f>VLOOKUP(B44,[1]!Consulta1[#All],2,FALSE)</f>
        <v>50977</v>
      </c>
      <c r="E44">
        <v>100</v>
      </c>
      <c r="F44">
        <v>1.2</v>
      </c>
      <c r="G44">
        <v>1.2</v>
      </c>
      <c r="H44">
        <v>1.1000000000000001</v>
      </c>
      <c r="I44">
        <v>1.05</v>
      </c>
      <c r="J44" t="s">
        <v>74</v>
      </c>
      <c r="K44">
        <v>0.85</v>
      </c>
      <c r="M44" s="29">
        <f>VLOOKUP(A44,[1]!Consulta1[#All],2,FALSE)</f>
        <v>74</v>
      </c>
      <c r="O44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('74','50977','8265','8299','4','100','1.2','&lt;p&gt;ITA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()&lt;/p&gt;',1,1,3,'1.2','1.1','1.05','0.95','0.85','2025-09-30',now(),now(),2,'0.1','1');</v>
      </c>
      <c r="P44" s="30">
        <v>0.1</v>
      </c>
    </row>
    <row r="45" spans="1:16" x14ac:dyDescent="0.2">
      <c r="A45" t="s">
        <v>56</v>
      </c>
      <c r="B45" t="s">
        <v>142</v>
      </c>
      <c r="C45" s="29">
        <f>VLOOKUP(B45,[1]!Consulta1[#All],2,FALSE)</f>
        <v>51126</v>
      </c>
      <c r="E45">
        <v>100</v>
      </c>
      <c r="F45">
        <v>1.2</v>
      </c>
      <c r="G45">
        <v>1.2</v>
      </c>
      <c r="H45">
        <v>1.1000000000000001</v>
      </c>
      <c r="I45">
        <v>1.05</v>
      </c>
      <c r="J45" t="s">
        <v>74</v>
      </c>
      <c r="K45">
        <v>0.85</v>
      </c>
      <c r="M45" s="29">
        <f>VLOOKUP(A45,[1]!Consulta1[#All],2,FALSE)</f>
        <v>74</v>
      </c>
      <c r="O45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('74','51126','8265','8299','4','100','1.2','&lt;p&gt;ITA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()&lt;/p&gt;',1,1,3,'1.2','1.1','1.05','0.95','0.85','2025-09-30',now(),now(),2,'0.1','1');</v>
      </c>
      <c r="P45" s="30">
        <v>0.1</v>
      </c>
    </row>
    <row r="46" spans="1:16" x14ac:dyDescent="0.2">
      <c r="A46" t="s">
        <v>56</v>
      </c>
      <c r="B46" t="s">
        <v>143</v>
      </c>
      <c r="C46" s="29">
        <f>VLOOKUP(B46,[1]!Consulta1[#All],2,FALSE)</f>
        <v>50969</v>
      </c>
      <c r="E46">
        <v>100</v>
      </c>
      <c r="F46">
        <v>1.2</v>
      </c>
      <c r="G46">
        <v>1.2</v>
      </c>
      <c r="H46">
        <v>1.1000000000000001</v>
      </c>
      <c r="I46">
        <v>1.05</v>
      </c>
      <c r="J46" t="s">
        <v>74</v>
      </c>
      <c r="K46">
        <v>0.85</v>
      </c>
      <c r="M46" s="29">
        <f>VLOOKUP(A46,[1]!Consulta1[#All],2,FALSE)</f>
        <v>74</v>
      </c>
      <c r="O46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('74','50969','8265','8299','4','100','1.2','&lt;p&gt;ITA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()&lt;/p&gt;',1,1,3,'1.2','1.1','1.05','0.95','0.85','2025-09-30',now(),now(),2,'0.1','1');</v>
      </c>
      <c r="P46" s="30">
        <v>0.1</v>
      </c>
    </row>
    <row r="47" spans="1:16" x14ac:dyDescent="0.2">
      <c r="A47" t="s">
        <v>56</v>
      </c>
      <c r="B47" t="s">
        <v>144</v>
      </c>
      <c r="C47" s="29">
        <f>VLOOKUP(B47,[1]!Consulta1[#All],2,FALSE)</f>
        <v>50970</v>
      </c>
      <c r="E47">
        <v>100</v>
      </c>
      <c r="F47">
        <v>1.2</v>
      </c>
      <c r="G47">
        <v>1.2</v>
      </c>
      <c r="H47">
        <v>1.1000000000000001</v>
      </c>
      <c r="I47">
        <v>1.05</v>
      </c>
      <c r="J47" t="s">
        <v>74</v>
      </c>
      <c r="K47">
        <v>0.85</v>
      </c>
      <c r="M47" s="29">
        <f>VLOOKUP(A47,[1]!Consulta1[#All],2,FALSE)</f>
        <v>74</v>
      </c>
      <c r="O47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('74','50970','8265','8299','4','100','1.2','&lt;p&gt;ITA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()&lt;/p&gt;',1,1,3,'1.2','1.1','1.05','0.95','0.85','2025-09-30',now(),now(),2,'0.1','1');</v>
      </c>
      <c r="P47" s="30">
        <v>0.1</v>
      </c>
    </row>
    <row r="48" spans="1:16" x14ac:dyDescent="0.2">
      <c r="A48" t="s">
        <v>56</v>
      </c>
      <c r="B48" t="s">
        <v>145</v>
      </c>
      <c r="C48" s="29">
        <f>VLOOKUP(B48,[1]!Consulta1[#All],2,FALSE)</f>
        <v>50972</v>
      </c>
      <c r="E48">
        <v>100</v>
      </c>
      <c r="F48">
        <v>1.2</v>
      </c>
      <c r="G48">
        <v>1.2</v>
      </c>
      <c r="H48">
        <v>1.1000000000000001</v>
      </c>
      <c r="I48">
        <v>1.05</v>
      </c>
      <c r="J48" t="s">
        <v>74</v>
      </c>
      <c r="K48">
        <v>0.85</v>
      </c>
      <c r="M48" s="29">
        <f>VLOOKUP(A48,[1]!Consulta1[#All],2,FALSE)</f>
        <v>74</v>
      </c>
      <c r="O48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('74','50972','8265','8299','4','100','1.2','&lt;p&gt;ITA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()&lt;/p&gt;',1,1,3,'1.2','1.1','1.05','0.95','0.85','2025-09-30',now(),now(),2,'0.1','1');</v>
      </c>
      <c r="P48" s="30">
        <v>0.1</v>
      </c>
    </row>
    <row r="49" spans="1:16" x14ac:dyDescent="0.2">
      <c r="A49" t="s">
        <v>56</v>
      </c>
      <c r="B49" t="s">
        <v>146</v>
      </c>
      <c r="C49" s="29">
        <f>VLOOKUP(B49,[1]!Consulta1[#All],2,FALSE)</f>
        <v>51381</v>
      </c>
      <c r="E49">
        <v>100</v>
      </c>
      <c r="F49">
        <v>1.2</v>
      </c>
      <c r="G49">
        <v>1.2</v>
      </c>
      <c r="H49">
        <v>1.1000000000000001</v>
      </c>
      <c r="I49">
        <v>1.05</v>
      </c>
      <c r="J49" t="s">
        <v>74</v>
      </c>
      <c r="K49">
        <v>0.85</v>
      </c>
      <c r="M49" s="29">
        <f>VLOOKUP(A49,[1]!Consulta1[#All],2,FALSE)</f>
        <v>74</v>
      </c>
      <c r="O49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('74','51381','8265','8299','4','100','1.2','&lt;p&gt;ITA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()&lt;/p&gt;',1,1,3,'1.2','1.1','1.05','0.95','0.85','2025-09-30',now(),now(),2,'0.1','1');</v>
      </c>
      <c r="P49" s="30">
        <v>0.1</v>
      </c>
    </row>
    <row r="50" spans="1:16" x14ac:dyDescent="0.2">
      <c r="A50" t="s">
        <v>56</v>
      </c>
      <c r="B50" t="s">
        <v>147</v>
      </c>
      <c r="C50" s="29">
        <f>VLOOKUP(B50,[1]!Consulta1[#All],2,FALSE)</f>
        <v>51285</v>
      </c>
      <c r="E50">
        <v>100</v>
      </c>
      <c r="F50">
        <v>1.2</v>
      </c>
      <c r="G50">
        <v>1.2</v>
      </c>
      <c r="H50">
        <v>1.1000000000000001</v>
      </c>
      <c r="I50">
        <v>1.05</v>
      </c>
      <c r="J50" t="s">
        <v>74</v>
      </c>
      <c r="K50">
        <v>0.85</v>
      </c>
      <c r="M50" s="29">
        <f>VLOOKUP(A50,[1]!Consulta1[#All],2,FALSE)</f>
        <v>74</v>
      </c>
      <c r="O50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('74','51285','8265','8299','4','100','1.2','&lt;p&gt;ITA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()&lt;/p&gt;',1,1,3,'1.2','1.1','1.05','0.95','0.85','2025-09-30',now(),now(),2,'0.1','1');</v>
      </c>
      <c r="P50" s="30">
        <v>0.1</v>
      </c>
    </row>
    <row r="51" spans="1:16" x14ac:dyDescent="0.2">
      <c r="A51" t="s">
        <v>56</v>
      </c>
      <c r="B51" t="s">
        <v>148</v>
      </c>
      <c r="C51" s="29">
        <f>VLOOKUP(B51,[1]!Consulta1[#All],2,FALSE)</f>
        <v>51147</v>
      </c>
      <c r="E51">
        <v>100</v>
      </c>
      <c r="F51">
        <v>1.2</v>
      </c>
      <c r="G51">
        <v>1.2</v>
      </c>
      <c r="H51">
        <v>1.1000000000000001</v>
      </c>
      <c r="I51">
        <v>1.05</v>
      </c>
      <c r="J51" t="s">
        <v>74</v>
      </c>
      <c r="K51">
        <v>0.85</v>
      </c>
      <c r="M51" s="29">
        <f>VLOOKUP(A51,[1]!Consulta1[#All],2,FALSE)</f>
        <v>74</v>
      </c>
      <c r="O51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('74','51147','8265','8299','4','100','1.2','&lt;p&gt;ITA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()&lt;/p&gt;',1,1,3,'1.2','1.1','1.05','0.95','0.85','2025-09-30',now(),now(),2,'0.1','1');</v>
      </c>
      <c r="P51" s="30">
        <v>0.1</v>
      </c>
    </row>
    <row r="52" spans="1:16" x14ac:dyDescent="0.2">
      <c r="A52" t="s">
        <v>56</v>
      </c>
      <c r="B52" t="s">
        <v>149</v>
      </c>
      <c r="C52" s="29">
        <f>VLOOKUP(B52,[1]!Consulta1[#All],2,FALSE)</f>
        <v>53322</v>
      </c>
      <c r="E52">
        <v>100</v>
      </c>
      <c r="F52">
        <v>1.2</v>
      </c>
      <c r="G52">
        <v>1.2</v>
      </c>
      <c r="H52">
        <v>1.1000000000000001</v>
      </c>
      <c r="I52">
        <v>1.05</v>
      </c>
      <c r="J52" t="s">
        <v>74</v>
      </c>
      <c r="K52">
        <v>0.85</v>
      </c>
      <c r="M52" s="29">
        <f>VLOOKUP(A52,[1]!Consulta1[#All],2,FALSE)</f>
        <v>74</v>
      </c>
      <c r="O52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('74','53322','8265','8299','4','100','1.2','&lt;p&gt;ITA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()&lt;/p&gt;',1,1,3,'1.2','1.1','1.05','0.95','0.85','2025-09-30',now(),now(),2,'0.1','1');</v>
      </c>
      <c r="P52" s="30">
        <v>0.1</v>
      </c>
    </row>
    <row r="53" spans="1:16" x14ac:dyDescent="0.2">
      <c r="A53" t="s">
        <v>56</v>
      </c>
      <c r="B53" t="s">
        <v>150</v>
      </c>
      <c r="C53" s="29">
        <f>VLOOKUP(B53,[1]!Consulta1[#All],2,FALSE)</f>
        <v>51286</v>
      </c>
      <c r="E53">
        <v>100</v>
      </c>
      <c r="F53">
        <v>1.2</v>
      </c>
      <c r="G53">
        <v>1.2</v>
      </c>
      <c r="H53">
        <v>1.1000000000000001</v>
      </c>
      <c r="I53">
        <v>1.05</v>
      </c>
      <c r="J53" t="s">
        <v>74</v>
      </c>
      <c r="K53">
        <v>0.85</v>
      </c>
      <c r="M53" s="29">
        <f>VLOOKUP(A53,[1]!Consulta1[#All],2,FALSE)</f>
        <v>74</v>
      </c>
      <c r="O53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('74','51286','8265','8299','4','100','1.2','&lt;p&gt;ITA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()&lt;/p&gt;',1,1,3,'1.2','1.1','1.05','0.95','0.85','2025-09-30',now(),now(),2,'0.1','1');</v>
      </c>
      <c r="P53" s="30">
        <v>0.1</v>
      </c>
    </row>
    <row r="54" spans="1:16" x14ac:dyDescent="0.2">
      <c r="A54" t="s">
        <v>56</v>
      </c>
      <c r="B54" t="s">
        <v>151</v>
      </c>
      <c r="C54" s="29">
        <f>VLOOKUP(B54,[1]!Consulta1[#All],2,FALSE)</f>
        <v>51287</v>
      </c>
      <c r="E54">
        <v>100</v>
      </c>
      <c r="F54">
        <v>1.2</v>
      </c>
      <c r="G54">
        <v>1.2</v>
      </c>
      <c r="H54">
        <v>1.1000000000000001</v>
      </c>
      <c r="I54">
        <v>1.05</v>
      </c>
      <c r="J54" t="s">
        <v>74</v>
      </c>
      <c r="K54">
        <v>0.85</v>
      </c>
      <c r="M54" s="29">
        <f>VLOOKUP(A54,[1]!Consulta1[#All],2,FALSE)</f>
        <v>74</v>
      </c>
      <c r="O54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('74','51287','8265','8299','4','100','1.2','&lt;p&gt;ITA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()&lt;/p&gt;',1,1,3,'1.2','1.1','1.05','0.95','0.85','2025-09-30',now(),now(),2,'0.1','1');</v>
      </c>
      <c r="P54" s="30">
        <v>0.1</v>
      </c>
    </row>
    <row r="55" spans="1:16" x14ac:dyDescent="0.2">
      <c r="A55" t="s">
        <v>56</v>
      </c>
      <c r="B55" t="s">
        <v>152</v>
      </c>
      <c r="C55" s="29">
        <f>VLOOKUP(B55,[1]!Consulta1[#All],2,FALSE)</f>
        <v>1097</v>
      </c>
      <c r="E55">
        <v>100</v>
      </c>
      <c r="F55">
        <v>1.2</v>
      </c>
      <c r="G55">
        <v>1.2</v>
      </c>
      <c r="H55">
        <v>1.05</v>
      </c>
      <c r="I55">
        <v>0.95</v>
      </c>
      <c r="J55" t="s">
        <v>68</v>
      </c>
      <c r="K55">
        <v>0.7</v>
      </c>
      <c r="M55" s="29">
        <f>VLOOKUP(A55,[1]!Consulta1[#All],2,FALSE)</f>
        <v>74</v>
      </c>
      <c r="O55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('74','1097','8265','8299','4','100','1.2','&lt;p&gt;ITA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55" s="30">
        <v>0.1</v>
      </c>
    </row>
    <row r="56" spans="1:16" x14ac:dyDescent="0.2">
      <c r="A56" t="s">
        <v>56</v>
      </c>
      <c r="B56" t="s">
        <v>153</v>
      </c>
      <c r="C56" s="29">
        <f>VLOOKUP(B56,[1]!Consulta1[#All],2,FALSE)</f>
        <v>39774</v>
      </c>
      <c r="E56">
        <v>100</v>
      </c>
      <c r="F56">
        <v>1.2</v>
      </c>
      <c r="G56">
        <v>1.2</v>
      </c>
      <c r="H56">
        <v>1.05</v>
      </c>
      <c r="I56">
        <v>0.95</v>
      </c>
      <c r="J56" t="s">
        <v>68</v>
      </c>
      <c r="K56">
        <v>0.7</v>
      </c>
      <c r="M56" s="29">
        <f>VLOOKUP(A56,[1]!Consulta1[#All],2,FALSE)</f>
        <v>74</v>
      </c>
      <c r="O56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('74','39774','8265','8299','4','100','1.2','&lt;p&gt;ITA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56" s="30">
        <v>0.1</v>
      </c>
    </row>
    <row r="57" spans="1:16" x14ac:dyDescent="0.2">
      <c r="A57" t="s">
        <v>56</v>
      </c>
      <c r="B57" t="s">
        <v>154</v>
      </c>
      <c r="C57" s="29">
        <f>VLOOKUP(B57,[1]!Consulta1[#All],2,FALSE)</f>
        <v>50862</v>
      </c>
      <c r="E57">
        <v>100</v>
      </c>
      <c r="F57">
        <v>1.2</v>
      </c>
      <c r="G57">
        <v>1.2</v>
      </c>
      <c r="H57">
        <v>1.05</v>
      </c>
      <c r="I57">
        <v>0.95</v>
      </c>
      <c r="J57" t="s">
        <v>68</v>
      </c>
      <c r="K57">
        <v>0.7</v>
      </c>
      <c r="M57" s="29">
        <f>VLOOKUP(A57,[1]!Consulta1[#All],2,FALSE)</f>
        <v>74</v>
      </c>
      <c r="O57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('74','50862','8265','8299','4','100','1.2','&lt;p&gt;ITA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57" s="30">
        <v>0.1</v>
      </c>
    </row>
    <row r="58" spans="1:16" x14ac:dyDescent="0.2">
      <c r="A58" t="s">
        <v>56</v>
      </c>
      <c r="B58" t="s">
        <v>155</v>
      </c>
      <c r="C58" s="29">
        <f>VLOOKUP(B58,[1]!Consulta1[#All],2,FALSE)</f>
        <v>39775</v>
      </c>
      <c r="E58">
        <v>100</v>
      </c>
      <c r="F58">
        <v>1.2</v>
      </c>
      <c r="G58">
        <v>1.2</v>
      </c>
      <c r="H58">
        <v>1.05</v>
      </c>
      <c r="I58">
        <v>0.95</v>
      </c>
      <c r="J58" t="s">
        <v>68</v>
      </c>
      <c r="K58">
        <v>0.7</v>
      </c>
      <c r="M58" s="29">
        <f>VLOOKUP(A58,[1]!Consulta1[#All],2,FALSE)</f>
        <v>74</v>
      </c>
      <c r="O58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('74','39775','8265','8299','4','100','1.2','&lt;p&gt;ITA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58" s="30">
        <v>0.1</v>
      </c>
    </row>
    <row r="59" spans="1:16" x14ac:dyDescent="0.2">
      <c r="A59" t="s">
        <v>56</v>
      </c>
      <c r="B59" t="s">
        <v>156</v>
      </c>
      <c r="C59" s="29">
        <f>VLOOKUP(B59,[1]!Consulta1[#All],2,FALSE)</f>
        <v>50842</v>
      </c>
      <c r="E59">
        <v>100</v>
      </c>
      <c r="F59">
        <v>1.2</v>
      </c>
      <c r="G59">
        <v>1.2</v>
      </c>
      <c r="H59">
        <v>1.05</v>
      </c>
      <c r="I59">
        <v>0.95</v>
      </c>
      <c r="J59" t="s">
        <v>68</v>
      </c>
      <c r="K59">
        <v>0.7</v>
      </c>
      <c r="M59" s="29">
        <f>VLOOKUP(A59,[1]!Consulta1[#All],2,FALSE)</f>
        <v>74</v>
      </c>
      <c r="O59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('74','50842','8265','8299','4','100','1.2','&lt;p&gt;ITA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59" s="30">
        <v>0.1</v>
      </c>
    </row>
    <row r="60" spans="1:16" x14ac:dyDescent="0.2">
      <c r="A60" t="s">
        <v>56</v>
      </c>
      <c r="B60" t="s">
        <v>157</v>
      </c>
      <c r="C60" s="29">
        <f>VLOOKUP(B60,[1]!Consulta1[#All],2,FALSE)</f>
        <v>50995</v>
      </c>
      <c r="E60">
        <v>100</v>
      </c>
      <c r="F60">
        <v>1.2</v>
      </c>
      <c r="G60">
        <v>1.2</v>
      </c>
      <c r="H60">
        <v>1.05</v>
      </c>
      <c r="I60">
        <v>0.95</v>
      </c>
      <c r="J60" t="s">
        <v>68</v>
      </c>
      <c r="K60">
        <v>0.7</v>
      </c>
      <c r="M60" s="29">
        <f>VLOOKUP(A60,[1]!Consulta1[#All],2,FALSE)</f>
        <v>74</v>
      </c>
      <c r="O60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('74','50995','8265','8299','4','100','1.2','&lt;p&gt;ITA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60" s="30">
        <v>0.1</v>
      </c>
    </row>
    <row r="61" spans="1:16" x14ac:dyDescent="0.2">
      <c r="A61" t="s">
        <v>56</v>
      </c>
      <c r="B61" t="s">
        <v>158</v>
      </c>
      <c r="C61" s="29">
        <f>VLOOKUP(B61,[1]!Consulta1[#All],2,FALSE)</f>
        <v>50908</v>
      </c>
      <c r="E61">
        <v>100</v>
      </c>
      <c r="F61">
        <v>1.2</v>
      </c>
      <c r="G61">
        <v>1.2</v>
      </c>
      <c r="H61">
        <v>1.05</v>
      </c>
      <c r="I61">
        <v>0.95</v>
      </c>
      <c r="J61" t="s">
        <v>68</v>
      </c>
      <c r="K61">
        <v>0.7</v>
      </c>
      <c r="M61" s="29">
        <f>VLOOKUP(A61,[1]!Consulta1[#All],2,FALSE)</f>
        <v>74</v>
      </c>
      <c r="O61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('74','50908','8265','8299','4','100','1.2','&lt;p&gt;ITA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61" s="30">
        <v>0.1</v>
      </c>
    </row>
    <row r="62" spans="1:16" x14ac:dyDescent="0.2">
      <c r="A62" t="s">
        <v>56</v>
      </c>
      <c r="B62" t="s">
        <v>159</v>
      </c>
      <c r="C62" s="29">
        <f>VLOOKUP(B62,[1]!Consulta1[#All],2,FALSE)</f>
        <v>50909</v>
      </c>
      <c r="E62">
        <v>100</v>
      </c>
      <c r="F62">
        <v>1.2</v>
      </c>
      <c r="G62">
        <v>1.2</v>
      </c>
      <c r="H62">
        <v>1.05</v>
      </c>
      <c r="I62">
        <v>0.95</v>
      </c>
      <c r="J62" t="s">
        <v>68</v>
      </c>
      <c r="K62">
        <v>0.7</v>
      </c>
      <c r="M62" s="29">
        <f>VLOOKUP(A62,[1]!Consulta1[#All],2,FALSE)</f>
        <v>74</v>
      </c>
      <c r="O62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('74','50909','8265','8299','4','100','1.2','&lt;p&gt;ITA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62" s="30">
        <v>0.1</v>
      </c>
    </row>
    <row r="63" spans="1:16" x14ac:dyDescent="0.2">
      <c r="A63" t="s">
        <v>56</v>
      </c>
      <c r="B63" t="s">
        <v>160</v>
      </c>
      <c r="C63" s="29">
        <f>VLOOKUP(B63,[1]!Consulta1[#All],2,FALSE)</f>
        <v>39778</v>
      </c>
      <c r="E63">
        <v>100</v>
      </c>
      <c r="F63">
        <v>1.2</v>
      </c>
      <c r="G63">
        <v>1.2</v>
      </c>
      <c r="H63">
        <v>1.05</v>
      </c>
      <c r="I63">
        <v>0.95</v>
      </c>
      <c r="J63" t="s">
        <v>68</v>
      </c>
      <c r="K63">
        <v>0.7</v>
      </c>
      <c r="M63" s="29">
        <f>VLOOKUP(A63,[1]!Consulta1[#All],2,FALSE)</f>
        <v>74</v>
      </c>
      <c r="O63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('74','39778','8265','8299','4','100','1.2','&lt;p&gt;ITA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63" s="30">
        <v>0.1</v>
      </c>
    </row>
    <row r="64" spans="1:16" x14ac:dyDescent="0.2">
      <c r="A64" t="s">
        <v>56</v>
      </c>
      <c r="B64" t="s">
        <v>161</v>
      </c>
      <c r="C64" s="29">
        <f>VLOOKUP(B64,[1]!Consulta1[#All],2,FALSE)</f>
        <v>50914</v>
      </c>
      <c r="E64">
        <v>100</v>
      </c>
      <c r="F64">
        <v>1.2</v>
      </c>
      <c r="G64">
        <v>1.2</v>
      </c>
      <c r="H64">
        <v>1.05</v>
      </c>
      <c r="I64">
        <v>0.95</v>
      </c>
      <c r="J64" t="s">
        <v>68</v>
      </c>
      <c r="K64">
        <v>0.7</v>
      </c>
      <c r="M64" s="29">
        <f>VLOOKUP(A64,[1]!Consulta1[#All],2,FALSE)</f>
        <v>74</v>
      </c>
      <c r="O64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('74','50914','8265','8299','4','100','1.2','&lt;p&gt;ITA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64" s="30">
        <v>0.1</v>
      </c>
    </row>
    <row r="65" spans="1:16" x14ac:dyDescent="0.2">
      <c r="A65" t="s">
        <v>56</v>
      </c>
      <c r="B65" t="s">
        <v>162</v>
      </c>
      <c r="C65" s="29">
        <f>VLOOKUP(B65,[1]!Consulta1[#All],2,FALSE)</f>
        <v>51114</v>
      </c>
      <c r="E65">
        <v>100</v>
      </c>
      <c r="F65">
        <v>1.2</v>
      </c>
      <c r="G65">
        <v>1.2</v>
      </c>
      <c r="H65">
        <v>1.05</v>
      </c>
      <c r="I65">
        <v>0.95</v>
      </c>
      <c r="J65" t="s">
        <v>68</v>
      </c>
      <c r="K65">
        <v>0.7</v>
      </c>
      <c r="M65" s="29">
        <f>VLOOKUP(A65,[1]!Consulta1[#All],2,FALSE)</f>
        <v>74</v>
      </c>
      <c r="O65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('74','51114','8265','8299','4','100','1.2','&lt;p&gt;ITA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65" s="30">
        <v>0.1</v>
      </c>
    </row>
    <row r="66" spans="1:16" x14ac:dyDescent="0.2">
      <c r="A66" t="s">
        <v>56</v>
      </c>
      <c r="B66" t="s">
        <v>163</v>
      </c>
      <c r="C66" s="29">
        <f>VLOOKUP(B66,[1]!Consulta1[#All],2,FALSE)</f>
        <v>51120</v>
      </c>
      <c r="E66">
        <v>100</v>
      </c>
      <c r="F66">
        <v>1.2</v>
      </c>
      <c r="G66">
        <v>1.2</v>
      </c>
      <c r="H66">
        <v>1.05</v>
      </c>
      <c r="I66">
        <v>0.95</v>
      </c>
      <c r="J66" t="s">
        <v>68</v>
      </c>
      <c r="K66">
        <v>0.7</v>
      </c>
      <c r="M66" s="29">
        <f>VLOOKUP(A66,[1]!Consulta1[#All],2,FALSE)</f>
        <v>74</v>
      </c>
      <c r="O66" s="29" t="str">
        <f t="shared" si="0"/>
        <v>insert tariffs (origin_id,destin_id,provider_id,airline_id,comodity_id,min,n,comments,active,user_id,type_tariff,forty_five_more,hundred_more,three_hundred_more,five_hundred_more,thousand_more,f_end,created_at,updated_at,airchaft,cost, offer) values ('74','51120','8265','8299','4','100','1.2','&lt;p&gt;ITA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66" s="30">
        <v>0.1</v>
      </c>
    </row>
    <row r="67" spans="1:16" x14ac:dyDescent="0.2">
      <c r="A67" t="s">
        <v>56</v>
      </c>
      <c r="B67" t="s">
        <v>168</v>
      </c>
      <c r="C67" s="29">
        <f>VLOOKUP(B67,[1]!Consulta1[#All],2,FALSE)</f>
        <v>51007</v>
      </c>
      <c r="E67">
        <v>100</v>
      </c>
      <c r="F67">
        <v>1.2</v>
      </c>
      <c r="G67">
        <v>1.2</v>
      </c>
      <c r="H67">
        <v>1.05</v>
      </c>
      <c r="I67">
        <v>0.95</v>
      </c>
      <c r="J67" t="s">
        <v>68</v>
      </c>
      <c r="K67">
        <v>0.7</v>
      </c>
      <c r="M67" s="29">
        <f>VLOOKUP(A67,[1]!Consulta1[#All],2,FALSE)</f>
        <v>74</v>
      </c>
      <c r="O67" s="29" t="str">
        <f t="shared" ref="O67:O130" si="1">CONCATENATE("insert tariffs (origin_id,destin_id,provider_id,airline_id,comodity_id,min,n,comments,active,user_id,type_tariff,forty_five_more,hundred_more,three_hundred_more,five_hundred_more,thousand_more,f_end,created_at,updated_at,airchaft,cost, offer) values ('",M67,"','",C67,"','8265','8299','",$N$2,"','",E67,"','",F67,"','",$L$2,"',1,1,3,'",G67,"','",H67,"','",I67,"','",J67,"','",K67,"','2025-09-30',now(),now(),2,'",P67,"','1');")</f>
        <v>insert tariffs (origin_id,destin_id,provider_id,airline_id,comodity_id,min,n,comments,active,user_id,type_tariff,forty_five_more,hundred_more,three_hundred_more,five_hundred_more,thousand_more,f_end,created_at,updated_at,airchaft,cost, offer) values ('74','51007','8265','8299','4','100','1.2','&lt;p&gt;ITA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67" s="30">
        <v>0.1</v>
      </c>
    </row>
    <row r="68" spans="1:16" x14ac:dyDescent="0.2">
      <c r="A68" t="s">
        <v>56</v>
      </c>
      <c r="B68" t="s">
        <v>164</v>
      </c>
      <c r="C68" s="29">
        <f>VLOOKUP(B68,[1]!Consulta1[#All],2,FALSE)</f>
        <v>51096</v>
      </c>
      <c r="E68">
        <v>100</v>
      </c>
      <c r="F68">
        <v>4.5</v>
      </c>
      <c r="G68">
        <v>3.8</v>
      </c>
      <c r="H68">
        <v>1.95</v>
      </c>
      <c r="I68">
        <v>1.85</v>
      </c>
      <c r="J68" t="s">
        <v>102</v>
      </c>
      <c r="K68">
        <v>1.65</v>
      </c>
      <c r="M68" s="29">
        <f>VLOOKUP(A68,[1]!Consulta1[#All],2,FALSE)</f>
        <v>74</v>
      </c>
      <c r="O68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('74','51096','8265','8299','4','100','4.5','&lt;p&gt;ITA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()&lt;/p&gt;',1,1,3,'3.8','1.95','1.85','1.75','1.65','2025-09-30',now(),now(),2,'0.1','1');</v>
      </c>
      <c r="P68" s="30">
        <v>0.1</v>
      </c>
    </row>
    <row r="69" spans="1:16" x14ac:dyDescent="0.2">
      <c r="A69" t="s">
        <v>56</v>
      </c>
      <c r="B69" t="s">
        <v>165</v>
      </c>
      <c r="C69" s="29">
        <f>VLOOKUP(B69,[1]!Consulta1[#All],2,FALSE)</f>
        <v>50922</v>
      </c>
      <c r="E69">
        <v>100</v>
      </c>
      <c r="F69">
        <v>4.5</v>
      </c>
      <c r="G69">
        <v>3.8</v>
      </c>
      <c r="H69">
        <v>1.95</v>
      </c>
      <c r="I69">
        <v>1.85</v>
      </c>
      <c r="J69" t="s">
        <v>102</v>
      </c>
      <c r="K69">
        <v>1.65</v>
      </c>
      <c r="M69" s="29">
        <f>VLOOKUP(A69,[1]!Consulta1[#All],2,FALSE)</f>
        <v>74</v>
      </c>
      <c r="O69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('74','50922','8265','8299','4','100','4.5','&lt;p&gt;ITA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()&lt;/p&gt;',1,1,3,'3.8','1.95','1.85','1.75','1.65','2025-09-30',now(),now(),2,'0.1','1');</v>
      </c>
      <c r="P69" s="30">
        <v>0.1</v>
      </c>
    </row>
    <row r="70" spans="1:16" x14ac:dyDescent="0.2">
      <c r="A70" t="s">
        <v>56</v>
      </c>
      <c r="B70" t="s">
        <v>54</v>
      </c>
      <c r="C70" s="29">
        <f>VLOOKUP(B70,[1]!Consulta1[#All],2,FALSE)</f>
        <v>51004</v>
      </c>
      <c r="E70">
        <v>100</v>
      </c>
      <c r="F70">
        <v>4.5</v>
      </c>
      <c r="G70">
        <v>3.8</v>
      </c>
      <c r="H70">
        <v>1.95</v>
      </c>
      <c r="I70">
        <v>1.85</v>
      </c>
      <c r="J70" t="s">
        <v>102</v>
      </c>
      <c r="K70">
        <v>1.65</v>
      </c>
      <c r="M70" s="29">
        <f>VLOOKUP(A70,[1]!Consulta1[#All],2,FALSE)</f>
        <v>74</v>
      </c>
      <c r="O70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('74','51004','8265','8299','4','100','4.5','&lt;p&gt;ITA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()&lt;/p&gt;',1,1,3,'3.8','1.95','1.85','1.75','1.65','2025-09-30',now(),now(),2,'0.1','1');</v>
      </c>
      <c r="P70" s="30">
        <v>0.1</v>
      </c>
    </row>
    <row r="71" spans="1:16" x14ac:dyDescent="0.2">
      <c r="A71" t="s">
        <v>56</v>
      </c>
      <c r="B71" t="s">
        <v>52</v>
      </c>
      <c r="C71" s="29">
        <f>VLOOKUP(B71,[1]!Consulta1[#All],2,FALSE)</f>
        <v>39771</v>
      </c>
      <c r="E71">
        <v>100</v>
      </c>
      <c r="F71">
        <v>4.5</v>
      </c>
      <c r="G71">
        <v>3.8</v>
      </c>
      <c r="H71">
        <v>1.4</v>
      </c>
      <c r="I71">
        <v>1.3</v>
      </c>
      <c r="J71" t="s">
        <v>82</v>
      </c>
      <c r="K71">
        <v>1.1000000000000001</v>
      </c>
      <c r="M71" s="29">
        <f>VLOOKUP(A71,[1]!Consulta1[#All],2,FALSE)</f>
        <v>74</v>
      </c>
      <c r="O71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('74','39771','8265','8299','4','100','4.5','&lt;p&gt;ITA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()&lt;/p&gt;',1,1,3,'3.8','1.4','1.3','1.2','1.1','2025-09-30',now(),now(),2,'0.1','1');</v>
      </c>
      <c r="P71" s="30">
        <v>0.1</v>
      </c>
    </row>
    <row r="72" spans="1:16" x14ac:dyDescent="0.2">
      <c r="A72" t="s">
        <v>56</v>
      </c>
      <c r="B72" t="s">
        <v>166</v>
      </c>
      <c r="C72" s="29">
        <f>VLOOKUP(B72,[1]!Consulta1[#All],2,FALSE)</f>
        <v>529</v>
      </c>
      <c r="E72">
        <v>100</v>
      </c>
      <c r="F72">
        <v>4.5</v>
      </c>
      <c r="G72">
        <v>3.8</v>
      </c>
      <c r="H72">
        <v>1.85</v>
      </c>
      <c r="I72">
        <v>1.75</v>
      </c>
      <c r="J72" t="s">
        <v>103</v>
      </c>
      <c r="K72">
        <v>1.55</v>
      </c>
      <c r="M72" s="29">
        <f>VLOOKUP(A72,[1]!Consulta1[#All],2,FALSE)</f>
        <v>74</v>
      </c>
      <c r="O72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('74','529','8265','8299','4','100','4.5','&lt;p&gt;ITA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()&lt;/p&gt;',1,1,3,'3.8','1.85','1.75','1.65','1.55','2025-09-30',now(),now(),2,'0.1','1');</v>
      </c>
      <c r="P72" s="30">
        <v>0.1</v>
      </c>
    </row>
    <row r="73" spans="1:16" x14ac:dyDescent="0.2">
      <c r="A73" t="s">
        <v>56</v>
      </c>
      <c r="B73" t="s">
        <v>167</v>
      </c>
      <c r="C73" s="29">
        <f>VLOOKUP(B73,[1]!Consulta1[#All],2,FALSE)</f>
        <v>50954</v>
      </c>
      <c r="E73">
        <v>100</v>
      </c>
      <c r="F73">
        <v>4.5</v>
      </c>
      <c r="G73">
        <v>3.8</v>
      </c>
      <c r="H73">
        <v>1.85</v>
      </c>
      <c r="I73">
        <v>1.75</v>
      </c>
      <c r="J73" t="s">
        <v>103</v>
      </c>
      <c r="K73">
        <v>1.55</v>
      </c>
      <c r="M73" s="29">
        <f>VLOOKUP(A73,[1]!Consulta1[#All],2,FALSE)</f>
        <v>74</v>
      </c>
      <c r="O73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('74','50954','8265','8299','4','100','4.5','&lt;p&gt;ITA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()&lt;/p&gt;',1,1,3,'3.8','1.85','1.75','1.65','1.55','2025-09-30',now(),now(),2,'0.1','1');</v>
      </c>
      <c r="P73" s="30">
        <v>0.1</v>
      </c>
    </row>
    <row r="74" spans="1:16" x14ac:dyDescent="0.2">
      <c r="A74" t="s">
        <v>56</v>
      </c>
      <c r="B74" t="s">
        <v>51</v>
      </c>
      <c r="C74" s="29">
        <f>VLOOKUP(B74,[1]!Consulta1[#All],2,FALSE)</f>
        <v>50830</v>
      </c>
      <c r="E74">
        <v>100</v>
      </c>
      <c r="F74">
        <v>4.5</v>
      </c>
      <c r="G74">
        <v>3.8</v>
      </c>
      <c r="H74">
        <v>1.45</v>
      </c>
      <c r="I74">
        <v>1.35</v>
      </c>
      <c r="J74" t="s">
        <v>110</v>
      </c>
      <c r="K74">
        <v>1.1499999999999999</v>
      </c>
      <c r="M74" s="29">
        <f>VLOOKUP(A74,[1]!Consulta1[#All],2,FALSE)</f>
        <v>74</v>
      </c>
      <c r="O74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('74','50830','8265','8299','4','100','4.5','&lt;p&gt;ITA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()&lt;/p&gt;',1,1,3,'3.8','1.45','1.35','1.25','1.15','2025-09-30',now(),now(),2,'0.1','1');</v>
      </c>
      <c r="P74" s="30">
        <v>0.1</v>
      </c>
    </row>
    <row r="75" spans="1:16" x14ac:dyDescent="0.2">
      <c r="A75" t="s">
        <v>57</v>
      </c>
      <c r="B75" t="s">
        <v>47</v>
      </c>
      <c r="C75" s="29">
        <f>VLOOKUP(B75,[1]!Consulta1[#All],2,FALSE)</f>
        <v>50961</v>
      </c>
      <c r="E75">
        <v>100</v>
      </c>
      <c r="F75">
        <v>0.9</v>
      </c>
      <c r="G75">
        <v>0.9</v>
      </c>
      <c r="H75">
        <v>0.9</v>
      </c>
      <c r="I75">
        <v>0.85</v>
      </c>
      <c r="J75" t="s">
        <v>69</v>
      </c>
      <c r="K75">
        <v>0.7</v>
      </c>
      <c r="M75" s="29">
        <f>VLOOKUP(A75,[1]!Consulta1[#All],2,FALSE)</f>
        <v>703</v>
      </c>
      <c r="O75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('703','50961','8265','8299','4','100','0.9','&lt;p&gt;ITA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()&lt;/p&gt;',1,1,3,'0.9','0.9','0.85','0.8','0.7','2025-09-30',now(),now(),2,'0.1','1');</v>
      </c>
      <c r="P75" s="30">
        <v>0.1</v>
      </c>
    </row>
    <row r="76" spans="1:16" x14ac:dyDescent="0.2">
      <c r="A76" t="s">
        <v>57</v>
      </c>
      <c r="B76" t="s">
        <v>48</v>
      </c>
      <c r="C76" s="29">
        <f>VLOOKUP(B76,[1]!Consulta1[#All],2,FALSE)</f>
        <v>49720</v>
      </c>
      <c r="E76">
        <v>100</v>
      </c>
      <c r="F76">
        <v>0.95</v>
      </c>
      <c r="G76">
        <v>0.95</v>
      </c>
      <c r="H76">
        <v>0.95</v>
      </c>
      <c r="I76">
        <v>0.9</v>
      </c>
      <c r="J76" t="s">
        <v>68</v>
      </c>
      <c r="K76">
        <v>0.75</v>
      </c>
      <c r="M76" s="29">
        <f>VLOOKUP(A76,[1]!Consulta1[#All],2,FALSE)</f>
        <v>703</v>
      </c>
      <c r="O76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('703','49720','8265','8299','4','100','0.95','&lt;p&gt;ITA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()&lt;/p&gt;',1,1,3,'0.95','0.95','0.9','0.85','0.75','2025-09-30',now(),now(),2,'0.1','1');</v>
      </c>
      <c r="P76" s="30">
        <v>0.1</v>
      </c>
    </row>
    <row r="77" spans="1:16" x14ac:dyDescent="0.2">
      <c r="A77" t="s">
        <v>57</v>
      </c>
      <c r="B77" t="s">
        <v>139</v>
      </c>
      <c r="C77" s="29">
        <f>VLOOKUP(B77,[1]!Consulta1[#All],2,FALSE)</f>
        <v>39776</v>
      </c>
      <c r="E77">
        <v>100</v>
      </c>
      <c r="F77">
        <v>4.5</v>
      </c>
      <c r="G77">
        <v>3.8</v>
      </c>
      <c r="H77">
        <v>1.45</v>
      </c>
      <c r="I77">
        <v>1.35</v>
      </c>
      <c r="J77" t="s">
        <v>110</v>
      </c>
      <c r="K77">
        <v>1.1499999999999999</v>
      </c>
      <c r="M77" s="29">
        <f>VLOOKUP(A77,[1]!Consulta1[#All],2,FALSE)</f>
        <v>703</v>
      </c>
      <c r="O77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('703','39776','8265','8299','4','100','4.5','&lt;p&gt;ITA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()&lt;/p&gt;',1,1,3,'3.8','1.45','1.35','1.25','1.15','2025-09-30',now(),now(),2,'0.1','1');</v>
      </c>
      <c r="P77" s="30">
        <v>0.1</v>
      </c>
    </row>
    <row r="78" spans="1:16" x14ac:dyDescent="0.2">
      <c r="A78" t="s">
        <v>57</v>
      </c>
      <c r="B78" t="s">
        <v>140</v>
      </c>
      <c r="C78" s="29">
        <f>VLOOKUP(B78,[1]!Consulta1[#All],2,FALSE)</f>
        <v>50708</v>
      </c>
      <c r="E78">
        <v>100</v>
      </c>
      <c r="F78">
        <v>4.5</v>
      </c>
      <c r="G78">
        <v>3.8</v>
      </c>
      <c r="H78">
        <v>1.45</v>
      </c>
      <c r="I78">
        <v>1.35</v>
      </c>
      <c r="J78" t="s">
        <v>110</v>
      </c>
      <c r="K78">
        <v>1.1499999999999999</v>
      </c>
      <c r="M78" s="29">
        <f>VLOOKUP(A78,[1]!Consulta1[#All],2,FALSE)</f>
        <v>703</v>
      </c>
      <c r="O78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('703','50708','8265','8299','4','100','4.5','&lt;p&gt;ITA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()&lt;/p&gt;',1,1,3,'3.8','1.45','1.35','1.25','1.15','2025-09-30',now(),now(),2,'0.1','1');</v>
      </c>
      <c r="P78" s="30">
        <v>0.1</v>
      </c>
    </row>
    <row r="79" spans="1:16" x14ac:dyDescent="0.2">
      <c r="A79" t="s">
        <v>57</v>
      </c>
      <c r="B79" t="s">
        <v>141</v>
      </c>
      <c r="C79" s="29">
        <f>VLOOKUP(B79,[1]!Consulta1[#All],2,FALSE)</f>
        <v>50977</v>
      </c>
      <c r="E79">
        <v>100</v>
      </c>
      <c r="F79">
        <v>1.2</v>
      </c>
      <c r="G79">
        <v>1.2</v>
      </c>
      <c r="H79">
        <v>1.1000000000000001</v>
      </c>
      <c r="I79">
        <v>1.05</v>
      </c>
      <c r="J79" t="s">
        <v>74</v>
      </c>
      <c r="K79">
        <v>0.85</v>
      </c>
      <c r="M79" s="29">
        <f>VLOOKUP(A79,[1]!Consulta1[#All],2,FALSE)</f>
        <v>703</v>
      </c>
      <c r="O79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('703','50977','8265','8299','4','100','1.2','&lt;p&gt;ITA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()&lt;/p&gt;',1,1,3,'1.2','1.1','1.05','0.95','0.85','2025-09-30',now(),now(),2,'0.1','1');</v>
      </c>
      <c r="P79" s="30">
        <v>0.1</v>
      </c>
    </row>
    <row r="80" spans="1:16" x14ac:dyDescent="0.2">
      <c r="A80" t="s">
        <v>57</v>
      </c>
      <c r="B80" t="s">
        <v>142</v>
      </c>
      <c r="C80" s="29">
        <f>VLOOKUP(B80,[1]!Consulta1[#All],2,FALSE)</f>
        <v>51126</v>
      </c>
      <c r="E80">
        <v>100</v>
      </c>
      <c r="F80">
        <v>1.2</v>
      </c>
      <c r="G80">
        <v>1.2</v>
      </c>
      <c r="H80">
        <v>1.1000000000000001</v>
      </c>
      <c r="I80">
        <v>1.05</v>
      </c>
      <c r="J80" t="s">
        <v>74</v>
      </c>
      <c r="K80">
        <v>0.85</v>
      </c>
      <c r="M80" s="29">
        <f>VLOOKUP(A80,[1]!Consulta1[#All],2,FALSE)</f>
        <v>703</v>
      </c>
      <c r="O80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('703','51126','8265','8299','4','100','1.2','&lt;p&gt;ITA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()&lt;/p&gt;',1,1,3,'1.2','1.1','1.05','0.95','0.85','2025-09-30',now(),now(),2,'0.1','1');</v>
      </c>
      <c r="P80" s="30">
        <v>0.1</v>
      </c>
    </row>
    <row r="81" spans="1:16" x14ac:dyDescent="0.2">
      <c r="A81" t="s">
        <v>57</v>
      </c>
      <c r="B81" t="s">
        <v>143</v>
      </c>
      <c r="C81" s="29">
        <f>VLOOKUP(B81,[1]!Consulta1[#All],2,FALSE)</f>
        <v>50969</v>
      </c>
      <c r="E81">
        <v>100</v>
      </c>
      <c r="F81">
        <v>1.2</v>
      </c>
      <c r="G81">
        <v>1.2</v>
      </c>
      <c r="H81">
        <v>1.1000000000000001</v>
      </c>
      <c r="I81">
        <v>1.05</v>
      </c>
      <c r="J81" t="s">
        <v>74</v>
      </c>
      <c r="K81">
        <v>0.85</v>
      </c>
      <c r="M81" s="29">
        <f>VLOOKUP(A81,[1]!Consulta1[#All],2,FALSE)</f>
        <v>703</v>
      </c>
      <c r="O81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('703','50969','8265','8299','4','100','1.2','&lt;p&gt;ITA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()&lt;/p&gt;',1,1,3,'1.2','1.1','1.05','0.95','0.85','2025-09-30',now(),now(),2,'0.1','1');</v>
      </c>
      <c r="P81" s="30">
        <v>0.1</v>
      </c>
    </row>
    <row r="82" spans="1:16" x14ac:dyDescent="0.2">
      <c r="A82" t="s">
        <v>57</v>
      </c>
      <c r="B82" t="s">
        <v>144</v>
      </c>
      <c r="C82" s="29">
        <f>VLOOKUP(B82,[1]!Consulta1[#All],2,FALSE)</f>
        <v>50970</v>
      </c>
      <c r="E82">
        <v>100</v>
      </c>
      <c r="F82">
        <v>1.2</v>
      </c>
      <c r="G82">
        <v>1.2</v>
      </c>
      <c r="H82">
        <v>1.1000000000000001</v>
      </c>
      <c r="I82">
        <v>1.05</v>
      </c>
      <c r="J82" t="s">
        <v>74</v>
      </c>
      <c r="K82">
        <v>0.85</v>
      </c>
      <c r="M82" s="29">
        <f>VLOOKUP(A82,[1]!Consulta1[#All],2,FALSE)</f>
        <v>703</v>
      </c>
      <c r="O82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('703','50970','8265','8299','4','100','1.2','&lt;p&gt;ITA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()&lt;/p&gt;',1,1,3,'1.2','1.1','1.05','0.95','0.85','2025-09-30',now(),now(),2,'0.1','1');</v>
      </c>
      <c r="P82" s="30">
        <v>0.1</v>
      </c>
    </row>
    <row r="83" spans="1:16" x14ac:dyDescent="0.2">
      <c r="A83" t="s">
        <v>57</v>
      </c>
      <c r="B83" t="s">
        <v>145</v>
      </c>
      <c r="C83" s="29">
        <f>VLOOKUP(B83,[1]!Consulta1[#All],2,FALSE)</f>
        <v>50972</v>
      </c>
      <c r="E83">
        <v>100</v>
      </c>
      <c r="F83">
        <v>1.2</v>
      </c>
      <c r="G83">
        <v>1.2</v>
      </c>
      <c r="H83">
        <v>1.1000000000000001</v>
      </c>
      <c r="I83">
        <v>1.05</v>
      </c>
      <c r="J83" t="s">
        <v>74</v>
      </c>
      <c r="K83">
        <v>0.85</v>
      </c>
      <c r="M83" s="29">
        <f>VLOOKUP(A83,[1]!Consulta1[#All],2,FALSE)</f>
        <v>703</v>
      </c>
      <c r="O83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('703','50972','8265','8299','4','100','1.2','&lt;p&gt;ITA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()&lt;/p&gt;',1,1,3,'1.2','1.1','1.05','0.95','0.85','2025-09-30',now(),now(),2,'0.1','1');</v>
      </c>
      <c r="P83" s="30">
        <v>0.1</v>
      </c>
    </row>
    <row r="84" spans="1:16" x14ac:dyDescent="0.2">
      <c r="A84" t="s">
        <v>57</v>
      </c>
      <c r="B84" t="s">
        <v>146</v>
      </c>
      <c r="C84" s="29">
        <f>VLOOKUP(B84,[1]!Consulta1[#All],2,FALSE)</f>
        <v>51381</v>
      </c>
      <c r="E84">
        <v>100</v>
      </c>
      <c r="F84">
        <v>1.2</v>
      </c>
      <c r="G84">
        <v>1.2</v>
      </c>
      <c r="H84">
        <v>1.1000000000000001</v>
      </c>
      <c r="I84">
        <v>1.05</v>
      </c>
      <c r="J84" t="s">
        <v>74</v>
      </c>
      <c r="K84">
        <v>0.85</v>
      </c>
      <c r="M84" s="29">
        <f>VLOOKUP(A84,[1]!Consulta1[#All],2,FALSE)</f>
        <v>703</v>
      </c>
      <c r="O84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('703','51381','8265','8299','4','100','1.2','&lt;p&gt;ITA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()&lt;/p&gt;',1,1,3,'1.2','1.1','1.05','0.95','0.85','2025-09-30',now(),now(),2,'0.1','1');</v>
      </c>
      <c r="P84" s="30">
        <v>0.1</v>
      </c>
    </row>
    <row r="85" spans="1:16" x14ac:dyDescent="0.2">
      <c r="A85" t="s">
        <v>57</v>
      </c>
      <c r="B85" t="s">
        <v>147</v>
      </c>
      <c r="C85" s="29">
        <f>VLOOKUP(B85,[1]!Consulta1[#All],2,FALSE)</f>
        <v>51285</v>
      </c>
      <c r="E85">
        <v>100</v>
      </c>
      <c r="F85">
        <v>1.2</v>
      </c>
      <c r="G85">
        <v>1.2</v>
      </c>
      <c r="H85">
        <v>1.1000000000000001</v>
      </c>
      <c r="I85">
        <v>1.05</v>
      </c>
      <c r="J85" t="s">
        <v>74</v>
      </c>
      <c r="K85">
        <v>0.85</v>
      </c>
      <c r="M85" s="29">
        <f>VLOOKUP(A85,[1]!Consulta1[#All],2,FALSE)</f>
        <v>703</v>
      </c>
      <c r="O85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('703','51285','8265','8299','4','100','1.2','&lt;p&gt;ITA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()&lt;/p&gt;',1,1,3,'1.2','1.1','1.05','0.95','0.85','2025-09-30',now(),now(),2,'0.1','1');</v>
      </c>
      <c r="P85" s="30">
        <v>0.1</v>
      </c>
    </row>
    <row r="86" spans="1:16" x14ac:dyDescent="0.2">
      <c r="A86" t="s">
        <v>57</v>
      </c>
      <c r="B86" t="s">
        <v>148</v>
      </c>
      <c r="C86" s="29">
        <f>VLOOKUP(B86,[1]!Consulta1[#All],2,FALSE)</f>
        <v>51147</v>
      </c>
      <c r="E86">
        <v>100</v>
      </c>
      <c r="F86">
        <v>1.2</v>
      </c>
      <c r="G86">
        <v>1.2</v>
      </c>
      <c r="H86">
        <v>1.1000000000000001</v>
      </c>
      <c r="I86">
        <v>1.05</v>
      </c>
      <c r="J86" t="s">
        <v>74</v>
      </c>
      <c r="K86">
        <v>0.85</v>
      </c>
      <c r="M86" s="29">
        <f>VLOOKUP(A86,[1]!Consulta1[#All],2,FALSE)</f>
        <v>703</v>
      </c>
      <c r="O86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('703','51147','8265','8299','4','100','1.2','&lt;p&gt;ITA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()&lt;/p&gt;',1,1,3,'1.2','1.1','1.05','0.95','0.85','2025-09-30',now(),now(),2,'0.1','1');</v>
      </c>
      <c r="P86" s="30">
        <v>0.1</v>
      </c>
    </row>
    <row r="87" spans="1:16" x14ac:dyDescent="0.2">
      <c r="A87" t="s">
        <v>57</v>
      </c>
      <c r="B87" t="s">
        <v>149</v>
      </c>
      <c r="C87" s="29">
        <f>VLOOKUP(B87,[1]!Consulta1[#All],2,FALSE)</f>
        <v>53322</v>
      </c>
      <c r="E87">
        <v>100</v>
      </c>
      <c r="F87">
        <v>1.2</v>
      </c>
      <c r="G87">
        <v>1.2</v>
      </c>
      <c r="H87">
        <v>1.1000000000000001</v>
      </c>
      <c r="I87">
        <v>1.05</v>
      </c>
      <c r="J87" t="s">
        <v>74</v>
      </c>
      <c r="K87">
        <v>0.85</v>
      </c>
      <c r="M87" s="29">
        <f>VLOOKUP(A87,[1]!Consulta1[#All],2,FALSE)</f>
        <v>703</v>
      </c>
      <c r="O87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('703','53322','8265','8299','4','100','1.2','&lt;p&gt;ITA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()&lt;/p&gt;',1,1,3,'1.2','1.1','1.05','0.95','0.85','2025-09-30',now(),now(),2,'0.1','1');</v>
      </c>
      <c r="P87" s="30">
        <v>0.1</v>
      </c>
    </row>
    <row r="88" spans="1:16" x14ac:dyDescent="0.2">
      <c r="A88" t="s">
        <v>57</v>
      </c>
      <c r="B88" t="s">
        <v>150</v>
      </c>
      <c r="C88" s="29">
        <f>VLOOKUP(B88,[1]!Consulta1[#All],2,FALSE)</f>
        <v>51286</v>
      </c>
      <c r="E88">
        <v>100</v>
      </c>
      <c r="F88">
        <v>1.2</v>
      </c>
      <c r="G88">
        <v>1.2</v>
      </c>
      <c r="H88">
        <v>1.1000000000000001</v>
      </c>
      <c r="I88">
        <v>1.05</v>
      </c>
      <c r="J88" t="s">
        <v>74</v>
      </c>
      <c r="K88">
        <v>0.85</v>
      </c>
      <c r="M88" s="29">
        <f>VLOOKUP(A88,[1]!Consulta1[#All],2,FALSE)</f>
        <v>703</v>
      </c>
      <c r="O88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('703','51286','8265','8299','4','100','1.2','&lt;p&gt;ITA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()&lt;/p&gt;',1,1,3,'1.2','1.1','1.05','0.95','0.85','2025-09-30',now(),now(),2,'0.1','1');</v>
      </c>
      <c r="P88" s="30">
        <v>0.1</v>
      </c>
    </row>
    <row r="89" spans="1:16" x14ac:dyDescent="0.2">
      <c r="A89" t="s">
        <v>57</v>
      </c>
      <c r="B89" t="s">
        <v>151</v>
      </c>
      <c r="C89" s="29">
        <f>VLOOKUP(B89,[1]!Consulta1[#All],2,FALSE)</f>
        <v>51287</v>
      </c>
      <c r="E89">
        <v>100</v>
      </c>
      <c r="F89">
        <v>1.2</v>
      </c>
      <c r="G89">
        <v>1.2</v>
      </c>
      <c r="H89">
        <v>1.1000000000000001</v>
      </c>
      <c r="I89">
        <v>1.05</v>
      </c>
      <c r="J89" t="s">
        <v>74</v>
      </c>
      <c r="K89">
        <v>0.85</v>
      </c>
      <c r="M89" s="29">
        <f>VLOOKUP(A89,[1]!Consulta1[#All],2,FALSE)</f>
        <v>703</v>
      </c>
      <c r="O89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('703','51287','8265','8299','4','100','1.2','&lt;p&gt;ITA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()&lt;/p&gt;',1,1,3,'1.2','1.1','1.05','0.95','0.85','2025-09-30',now(),now(),2,'0.1','1');</v>
      </c>
      <c r="P89" s="30">
        <v>0.1</v>
      </c>
    </row>
    <row r="90" spans="1:16" x14ac:dyDescent="0.2">
      <c r="A90" t="s">
        <v>57</v>
      </c>
      <c r="B90" t="s">
        <v>152</v>
      </c>
      <c r="C90" s="29">
        <f>VLOOKUP(B90,[1]!Consulta1[#All],2,FALSE)</f>
        <v>1097</v>
      </c>
      <c r="E90">
        <v>100</v>
      </c>
      <c r="F90">
        <v>1.2</v>
      </c>
      <c r="G90">
        <v>1.2</v>
      </c>
      <c r="H90">
        <v>1.05</v>
      </c>
      <c r="I90">
        <v>0.95</v>
      </c>
      <c r="J90" t="s">
        <v>68</v>
      </c>
      <c r="K90">
        <v>0.7</v>
      </c>
      <c r="M90" s="29">
        <f>VLOOKUP(A90,[1]!Consulta1[#All],2,FALSE)</f>
        <v>703</v>
      </c>
      <c r="O90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('703','1097','8265','8299','4','100','1.2','&lt;p&gt;ITA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90" s="30">
        <v>0.1</v>
      </c>
    </row>
    <row r="91" spans="1:16" x14ac:dyDescent="0.2">
      <c r="A91" t="s">
        <v>57</v>
      </c>
      <c r="B91" t="s">
        <v>153</v>
      </c>
      <c r="C91" s="29">
        <f>VLOOKUP(B91,[1]!Consulta1[#All],2,FALSE)</f>
        <v>39774</v>
      </c>
      <c r="E91">
        <v>100</v>
      </c>
      <c r="F91">
        <v>1.2</v>
      </c>
      <c r="G91">
        <v>1.2</v>
      </c>
      <c r="H91">
        <v>1.05</v>
      </c>
      <c r="I91">
        <v>0.95</v>
      </c>
      <c r="J91" t="s">
        <v>68</v>
      </c>
      <c r="K91">
        <v>0.7</v>
      </c>
      <c r="M91" s="29">
        <f>VLOOKUP(A91,[1]!Consulta1[#All],2,FALSE)</f>
        <v>703</v>
      </c>
      <c r="O91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('703','39774','8265','8299','4','100','1.2','&lt;p&gt;ITA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91" s="30">
        <v>0.1</v>
      </c>
    </row>
    <row r="92" spans="1:16" x14ac:dyDescent="0.2">
      <c r="A92" t="s">
        <v>57</v>
      </c>
      <c r="B92" t="s">
        <v>154</v>
      </c>
      <c r="C92" s="29">
        <f>VLOOKUP(B92,[1]!Consulta1[#All],2,FALSE)</f>
        <v>50862</v>
      </c>
      <c r="E92">
        <v>100</v>
      </c>
      <c r="F92">
        <v>1.2</v>
      </c>
      <c r="G92">
        <v>1.2</v>
      </c>
      <c r="H92">
        <v>1.05</v>
      </c>
      <c r="I92">
        <v>0.95</v>
      </c>
      <c r="J92" t="s">
        <v>68</v>
      </c>
      <c r="K92">
        <v>0.7</v>
      </c>
      <c r="M92" s="29">
        <f>VLOOKUP(A92,[1]!Consulta1[#All],2,FALSE)</f>
        <v>703</v>
      </c>
      <c r="O92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('703','50862','8265','8299','4','100','1.2','&lt;p&gt;ITA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92" s="30">
        <v>0.1</v>
      </c>
    </row>
    <row r="93" spans="1:16" x14ac:dyDescent="0.2">
      <c r="A93" t="s">
        <v>57</v>
      </c>
      <c r="B93" t="s">
        <v>155</v>
      </c>
      <c r="C93" s="29">
        <f>VLOOKUP(B93,[1]!Consulta1[#All],2,FALSE)</f>
        <v>39775</v>
      </c>
      <c r="E93">
        <v>100</v>
      </c>
      <c r="F93">
        <v>1.2</v>
      </c>
      <c r="G93">
        <v>1.2</v>
      </c>
      <c r="H93">
        <v>1.05</v>
      </c>
      <c r="I93">
        <v>0.95</v>
      </c>
      <c r="J93" t="s">
        <v>68</v>
      </c>
      <c r="K93">
        <v>0.7</v>
      </c>
      <c r="M93" s="29">
        <f>VLOOKUP(A93,[1]!Consulta1[#All],2,FALSE)</f>
        <v>703</v>
      </c>
      <c r="O93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('703','39775','8265','8299','4','100','1.2','&lt;p&gt;ITA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93" s="30">
        <v>0.1</v>
      </c>
    </row>
    <row r="94" spans="1:16" x14ac:dyDescent="0.2">
      <c r="A94" t="s">
        <v>57</v>
      </c>
      <c r="B94" t="s">
        <v>156</v>
      </c>
      <c r="C94" s="29">
        <f>VLOOKUP(B94,[1]!Consulta1[#All],2,FALSE)</f>
        <v>50842</v>
      </c>
      <c r="E94">
        <v>100</v>
      </c>
      <c r="F94">
        <v>1.2</v>
      </c>
      <c r="G94">
        <v>1.2</v>
      </c>
      <c r="H94">
        <v>1.05</v>
      </c>
      <c r="I94">
        <v>0.95</v>
      </c>
      <c r="J94" t="s">
        <v>68</v>
      </c>
      <c r="K94">
        <v>0.7</v>
      </c>
      <c r="M94" s="29">
        <f>VLOOKUP(A94,[1]!Consulta1[#All],2,FALSE)</f>
        <v>703</v>
      </c>
      <c r="O94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('703','50842','8265','8299','4','100','1.2','&lt;p&gt;ITA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94" s="30">
        <v>0.1</v>
      </c>
    </row>
    <row r="95" spans="1:16" x14ac:dyDescent="0.2">
      <c r="A95" t="s">
        <v>57</v>
      </c>
      <c r="B95" t="s">
        <v>157</v>
      </c>
      <c r="C95" s="29">
        <f>VLOOKUP(B95,[1]!Consulta1[#All],2,FALSE)</f>
        <v>50995</v>
      </c>
      <c r="E95">
        <v>100</v>
      </c>
      <c r="F95">
        <v>1.2</v>
      </c>
      <c r="G95">
        <v>1.2</v>
      </c>
      <c r="H95">
        <v>1.05</v>
      </c>
      <c r="I95">
        <v>0.95</v>
      </c>
      <c r="J95" t="s">
        <v>68</v>
      </c>
      <c r="K95">
        <v>0.7</v>
      </c>
      <c r="M95" s="29">
        <f>VLOOKUP(A95,[1]!Consulta1[#All],2,FALSE)</f>
        <v>703</v>
      </c>
      <c r="O95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('703','50995','8265','8299','4','100','1.2','&lt;p&gt;ITA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95" s="30">
        <v>0.1</v>
      </c>
    </row>
    <row r="96" spans="1:16" x14ac:dyDescent="0.2">
      <c r="A96" t="s">
        <v>57</v>
      </c>
      <c r="B96" t="s">
        <v>158</v>
      </c>
      <c r="C96" s="29">
        <f>VLOOKUP(B96,[1]!Consulta1[#All],2,FALSE)</f>
        <v>50908</v>
      </c>
      <c r="E96">
        <v>100</v>
      </c>
      <c r="F96">
        <v>1.2</v>
      </c>
      <c r="G96">
        <v>1.2</v>
      </c>
      <c r="H96">
        <v>1.05</v>
      </c>
      <c r="I96">
        <v>0.95</v>
      </c>
      <c r="J96" t="s">
        <v>68</v>
      </c>
      <c r="K96">
        <v>0.7</v>
      </c>
      <c r="M96" s="29">
        <f>VLOOKUP(A96,[1]!Consulta1[#All],2,FALSE)</f>
        <v>703</v>
      </c>
      <c r="O96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('703','50908','8265','8299','4','100','1.2','&lt;p&gt;ITA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96" s="30">
        <v>0.1</v>
      </c>
    </row>
    <row r="97" spans="1:16" x14ac:dyDescent="0.2">
      <c r="A97" t="s">
        <v>57</v>
      </c>
      <c r="B97" t="s">
        <v>159</v>
      </c>
      <c r="C97" s="29">
        <f>VLOOKUP(B97,[1]!Consulta1[#All],2,FALSE)</f>
        <v>50909</v>
      </c>
      <c r="E97">
        <v>100</v>
      </c>
      <c r="F97">
        <v>1.2</v>
      </c>
      <c r="G97">
        <v>1.2</v>
      </c>
      <c r="H97">
        <v>1.05</v>
      </c>
      <c r="I97">
        <v>0.95</v>
      </c>
      <c r="J97" t="s">
        <v>68</v>
      </c>
      <c r="K97">
        <v>0.7</v>
      </c>
      <c r="M97" s="29">
        <f>VLOOKUP(A97,[1]!Consulta1[#All],2,FALSE)</f>
        <v>703</v>
      </c>
      <c r="O97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('703','50909','8265','8299','4','100','1.2','&lt;p&gt;ITA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97" s="30">
        <v>0.1</v>
      </c>
    </row>
    <row r="98" spans="1:16" x14ac:dyDescent="0.2">
      <c r="A98" t="s">
        <v>57</v>
      </c>
      <c r="B98" t="s">
        <v>160</v>
      </c>
      <c r="C98" s="29">
        <f>VLOOKUP(B98,[1]!Consulta1[#All],2,FALSE)</f>
        <v>39778</v>
      </c>
      <c r="E98">
        <v>100</v>
      </c>
      <c r="F98">
        <v>1.2</v>
      </c>
      <c r="G98">
        <v>1.2</v>
      </c>
      <c r="H98">
        <v>1.05</v>
      </c>
      <c r="I98">
        <v>0.95</v>
      </c>
      <c r="J98" t="s">
        <v>68</v>
      </c>
      <c r="K98">
        <v>0.7</v>
      </c>
      <c r="M98" s="29">
        <f>VLOOKUP(A98,[1]!Consulta1[#All],2,FALSE)</f>
        <v>703</v>
      </c>
      <c r="O98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('703','39778','8265','8299','4','100','1.2','&lt;p&gt;ITA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98" s="30">
        <v>0.1</v>
      </c>
    </row>
    <row r="99" spans="1:16" x14ac:dyDescent="0.2">
      <c r="A99" t="s">
        <v>57</v>
      </c>
      <c r="B99" t="s">
        <v>161</v>
      </c>
      <c r="C99" s="29">
        <f>VLOOKUP(B99,[1]!Consulta1[#All],2,FALSE)</f>
        <v>50914</v>
      </c>
      <c r="E99">
        <v>100</v>
      </c>
      <c r="F99">
        <v>1.2</v>
      </c>
      <c r="G99">
        <v>1.2</v>
      </c>
      <c r="H99">
        <v>1.05</v>
      </c>
      <c r="I99">
        <v>0.95</v>
      </c>
      <c r="J99" t="s">
        <v>68</v>
      </c>
      <c r="K99">
        <v>0.7</v>
      </c>
      <c r="M99" s="29">
        <f>VLOOKUP(A99,[1]!Consulta1[#All],2,FALSE)</f>
        <v>703</v>
      </c>
      <c r="O99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('703','50914','8265','8299','4','100','1.2','&lt;p&gt;ITA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99" s="30">
        <v>0.1</v>
      </c>
    </row>
    <row r="100" spans="1:16" x14ac:dyDescent="0.2">
      <c r="A100" t="s">
        <v>57</v>
      </c>
      <c r="B100" t="s">
        <v>162</v>
      </c>
      <c r="C100" s="29">
        <f>VLOOKUP(B100,[1]!Consulta1[#All],2,FALSE)</f>
        <v>51114</v>
      </c>
      <c r="E100">
        <v>100</v>
      </c>
      <c r="F100">
        <v>1.2</v>
      </c>
      <c r="G100">
        <v>1.2</v>
      </c>
      <c r="H100">
        <v>1.05</v>
      </c>
      <c r="I100">
        <v>0.95</v>
      </c>
      <c r="J100" t="s">
        <v>68</v>
      </c>
      <c r="K100">
        <v>0.7</v>
      </c>
      <c r="M100" s="29">
        <f>VLOOKUP(A100,[1]!Consulta1[#All],2,FALSE)</f>
        <v>703</v>
      </c>
      <c r="O100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('703','51114','8265','8299','4','100','1.2','&lt;p&gt;ITA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100" s="30">
        <v>0.1</v>
      </c>
    </row>
    <row r="101" spans="1:16" x14ac:dyDescent="0.2">
      <c r="A101" t="s">
        <v>57</v>
      </c>
      <c r="B101" t="s">
        <v>163</v>
      </c>
      <c r="C101" s="29">
        <f>VLOOKUP(B101,[1]!Consulta1[#All],2,FALSE)</f>
        <v>51120</v>
      </c>
      <c r="E101">
        <v>100</v>
      </c>
      <c r="F101">
        <v>1.2</v>
      </c>
      <c r="G101">
        <v>1.2</v>
      </c>
      <c r="H101">
        <v>1.05</v>
      </c>
      <c r="I101">
        <v>0.95</v>
      </c>
      <c r="J101" t="s">
        <v>68</v>
      </c>
      <c r="K101">
        <v>0.7</v>
      </c>
      <c r="M101" s="29">
        <f>VLOOKUP(A101,[1]!Consulta1[#All],2,FALSE)</f>
        <v>703</v>
      </c>
      <c r="O101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('703','51120','8265','8299','4','100','1.2','&lt;p&gt;ITA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101" s="30">
        <v>0.1</v>
      </c>
    </row>
    <row r="102" spans="1:16" x14ac:dyDescent="0.2">
      <c r="A102" t="s">
        <v>57</v>
      </c>
      <c r="B102" s="26" t="s">
        <v>164</v>
      </c>
      <c r="C102" s="29">
        <f>VLOOKUP(B102,[1]!Consulta1[#All],2,FALSE)</f>
        <v>51096</v>
      </c>
      <c r="E102">
        <v>100</v>
      </c>
      <c r="F102">
        <v>4.5</v>
      </c>
      <c r="G102">
        <v>3.8</v>
      </c>
      <c r="H102">
        <v>1.95</v>
      </c>
      <c r="I102">
        <v>1.85</v>
      </c>
      <c r="J102" t="s">
        <v>102</v>
      </c>
      <c r="K102">
        <v>1.65</v>
      </c>
      <c r="M102" s="29">
        <f>VLOOKUP(A102,[1]!Consulta1[#All],2,FALSE)</f>
        <v>703</v>
      </c>
      <c r="O102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('703','51096','8265','8299','4','100','4.5','&lt;p&gt;ITA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()&lt;/p&gt;',1,1,3,'3.8','1.95','1.85','1.75','1.65','2025-09-30',now(),now(),2,'0.1','1');</v>
      </c>
      <c r="P102" s="30">
        <v>0.1</v>
      </c>
    </row>
    <row r="103" spans="1:16" x14ac:dyDescent="0.2">
      <c r="A103" t="s">
        <v>57</v>
      </c>
      <c r="B103" s="26" t="s">
        <v>165</v>
      </c>
      <c r="C103" s="29">
        <f>VLOOKUP(B103,[1]!Consulta1[#All],2,FALSE)</f>
        <v>50922</v>
      </c>
      <c r="E103">
        <v>100</v>
      </c>
      <c r="F103">
        <v>4.5</v>
      </c>
      <c r="G103">
        <v>3.8</v>
      </c>
      <c r="H103">
        <v>1.95</v>
      </c>
      <c r="I103">
        <v>1.85</v>
      </c>
      <c r="J103" t="s">
        <v>102</v>
      </c>
      <c r="K103">
        <v>1.65</v>
      </c>
      <c r="M103" s="29">
        <f>VLOOKUP(A103,[1]!Consulta1[#All],2,FALSE)</f>
        <v>703</v>
      </c>
      <c r="O103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('703','50922','8265','8299','4','100','4.5','&lt;p&gt;ITA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()&lt;/p&gt;',1,1,3,'3.8','1.95','1.85','1.75','1.65','2025-09-30',now(),now(),2,'0.1','1');</v>
      </c>
      <c r="P103" s="30">
        <v>0.1</v>
      </c>
    </row>
    <row r="104" spans="1:16" x14ac:dyDescent="0.2">
      <c r="A104" t="s">
        <v>57</v>
      </c>
      <c r="B104" t="s">
        <v>54</v>
      </c>
      <c r="C104" s="29">
        <f>VLOOKUP(B104,[1]!Consulta1[#All],2,FALSE)</f>
        <v>51004</v>
      </c>
      <c r="E104">
        <v>100</v>
      </c>
      <c r="F104">
        <v>4.5</v>
      </c>
      <c r="G104">
        <v>3.8</v>
      </c>
      <c r="H104">
        <v>1.95</v>
      </c>
      <c r="I104">
        <v>1.85</v>
      </c>
      <c r="J104" t="s">
        <v>102</v>
      </c>
      <c r="K104">
        <v>1.65</v>
      </c>
      <c r="M104" s="29">
        <f>VLOOKUP(A104,[1]!Consulta1[#All],2,FALSE)</f>
        <v>703</v>
      </c>
      <c r="O104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('703','51004','8265','8299','4','100','4.5','&lt;p&gt;ITA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()&lt;/p&gt;',1,1,3,'3.8','1.95','1.85','1.75','1.65','2025-09-30',now(),now(),2,'0.1','1');</v>
      </c>
      <c r="P104" s="30">
        <v>0.1</v>
      </c>
    </row>
    <row r="105" spans="1:16" x14ac:dyDescent="0.2">
      <c r="A105" t="s">
        <v>57</v>
      </c>
      <c r="B105" t="s">
        <v>166</v>
      </c>
      <c r="C105" s="29">
        <f>VLOOKUP(B105,[1]!Consulta1[#All],2,FALSE)</f>
        <v>529</v>
      </c>
      <c r="E105">
        <v>100</v>
      </c>
      <c r="F105">
        <v>4.5</v>
      </c>
      <c r="G105">
        <v>3.8</v>
      </c>
      <c r="H105">
        <v>1.85</v>
      </c>
      <c r="I105">
        <v>1.65</v>
      </c>
      <c r="J105" t="s">
        <v>104</v>
      </c>
      <c r="K105">
        <v>1.45</v>
      </c>
      <c r="M105" s="29">
        <f>VLOOKUP(A105,[1]!Consulta1[#All],2,FALSE)</f>
        <v>703</v>
      </c>
      <c r="O105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('703','529','8265','8299','4','100','4.5','&lt;p&gt;ITA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()&lt;/p&gt;',1,1,3,'3.8','1.85','1.65','1.55','1.45','2025-09-30',now(),now(),2,'0.1','1');</v>
      </c>
      <c r="P105" s="30">
        <v>0.1</v>
      </c>
    </row>
    <row r="106" spans="1:16" x14ac:dyDescent="0.2">
      <c r="A106" t="s">
        <v>57</v>
      </c>
      <c r="B106" t="s">
        <v>167</v>
      </c>
      <c r="C106" s="29">
        <f>VLOOKUP(B106,[1]!Consulta1[#All],2,FALSE)</f>
        <v>50954</v>
      </c>
      <c r="E106">
        <v>100</v>
      </c>
      <c r="F106">
        <v>4.5</v>
      </c>
      <c r="G106">
        <v>3.8</v>
      </c>
      <c r="H106">
        <v>1.85</v>
      </c>
      <c r="I106">
        <v>1.65</v>
      </c>
      <c r="J106" t="s">
        <v>104</v>
      </c>
      <c r="K106">
        <v>1.45</v>
      </c>
      <c r="M106" s="29">
        <f>VLOOKUP(A106,[1]!Consulta1[#All],2,FALSE)</f>
        <v>703</v>
      </c>
      <c r="O106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('703','50954','8265','8299','4','100','4.5','&lt;p&gt;ITA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()&lt;/p&gt;',1,1,3,'3.8','1.85','1.65','1.55','1.45','2025-09-30',now(),now(),2,'0.1','1');</v>
      </c>
      <c r="P106" s="30">
        <v>0.1</v>
      </c>
    </row>
    <row r="107" spans="1:16" x14ac:dyDescent="0.2">
      <c r="A107" t="s">
        <v>57</v>
      </c>
      <c r="B107" t="s">
        <v>51</v>
      </c>
      <c r="C107" s="29">
        <f>VLOOKUP(B107,[1]!Consulta1[#All],2,FALSE)</f>
        <v>50830</v>
      </c>
      <c r="E107">
        <v>100</v>
      </c>
      <c r="F107">
        <v>4.5</v>
      </c>
      <c r="G107">
        <v>3.8</v>
      </c>
      <c r="H107">
        <v>1.45</v>
      </c>
      <c r="I107">
        <v>1.35</v>
      </c>
      <c r="J107" t="s">
        <v>110</v>
      </c>
      <c r="K107">
        <v>1.1499999999999999</v>
      </c>
      <c r="M107" s="29">
        <f>VLOOKUP(A107,[1]!Consulta1[#All],2,FALSE)</f>
        <v>703</v>
      </c>
      <c r="O107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('703','50830','8265','8299','4','100','4.5','&lt;p&gt;ITA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()&lt;/p&gt;',1,1,3,'3.8','1.45','1.35','1.25','1.15','2025-09-30',now(),now(),2,'0.1','1');</v>
      </c>
      <c r="P107" s="30">
        <v>0.1</v>
      </c>
    </row>
    <row r="108" spans="1:16" x14ac:dyDescent="0.2">
      <c r="A108" t="s">
        <v>57</v>
      </c>
      <c r="B108" t="s">
        <v>52</v>
      </c>
      <c r="C108" s="29">
        <f>VLOOKUP(B108,[1]!Consulta1[#All],2,FALSE)</f>
        <v>39771</v>
      </c>
      <c r="E108">
        <v>100</v>
      </c>
      <c r="F108">
        <v>4.5</v>
      </c>
      <c r="G108">
        <v>3.8</v>
      </c>
      <c r="H108">
        <v>1.4</v>
      </c>
      <c r="I108">
        <v>1.3</v>
      </c>
      <c r="J108" t="s">
        <v>82</v>
      </c>
      <c r="K108">
        <v>1.1000000000000001</v>
      </c>
      <c r="M108" s="29">
        <f>VLOOKUP(A108,[1]!Consulta1[#All],2,FALSE)</f>
        <v>703</v>
      </c>
      <c r="O108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('703','39771','8265','8299','4','100','4.5','&lt;p&gt;ITA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()&lt;/p&gt;',1,1,3,'3.8','1.4','1.3','1.2','1.1','2025-09-30',now(),now(),2,'0.1','1');</v>
      </c>
      <c r="P108" s="30">
        <v>0.1</v>
      </c>
    </row>
    <row r="109" spans="1:16" x14ac:dyDescent="0.2">
      <c r="A109" t="s">
        <v>58</v>
      </c>
      <c r="B109" t="s">
        <v>47</v>
      </c>
      <c r="C109" s="29">
        <f>VLOOKUP(B109,[1]!Consulta1[#All],2,FALSE)</f>
        <v>50961</v>
      </c>
      <c r="E109">
        <v>100</v>
      </c>
      <c r="F109">
        <v>1.25</v>
      </c>
      <c r="G109">
        <v>1.25</v>
      </c>
      <c r="H109">
        <v>1.25</v>
      </c>
      <c r="I109">
        <v>1.1499999999999999</v>
      </c>
      <c r="J109" t="s">
        <v>72</v>
      </c>
      <c r="K109">
        <v>0.95</v>
      </c>
      <c r="M109" s="29">
        <f>VLOOKUP(A109,[1]!Consulta1[#All],2,FALSE)</f>
        <v>428</v>
      </c>
      <c r="O109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('428','50961','8265','8299','4','100','1.25','&lt;p&gt;ITA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()&lt;/p&gt;',1,1,3,'1.25','1.25','1.15','1.05','0.95','2025-09-30',now(),now(),2,'0.1','1');</v>
      </c>
      <c r="P109" s="30">
        <v>0.1</v>
      </c>
    </row>
    <row r="110" spans="1:16" x14ac:dyDescent="0.2">
      <c r="A110" t="s">
        <v>58</v>
      </c>
      <c r="B110" t="s">
        <v>48</v>
      </c>
      <c r="C110" s="29">
        <f>VLOOKUP(B110,[1]!Consulta1[#All],2,FALSE)</f>
        <v>49720</v>
      </c>
      <c r="E110">
        <v>100</v>
      </c>
      <c r="F110">
        <v>1.2</v>
      </c>
      <c r="G110">
        <v>1.2</v>
      </c>
      <c r="H110">
        <v>1.2</v>
      </c>
      <c r="I110">
        <v>1.1000000000000001</v>
      </c>
      <c r="J110" t="s">
        <v>73</v>
      </c>
      <c r="K110">
        <v>0.9</v>
      </c>
      <c r="M110" s="29">
        <f>VLOOKUP(A110,[1]!Consulta1[#All],2,FALSE)</f>
        <v>428</v>
      </c>
      <c r="O110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('428','49720','8265','8299','4','100','1.2','&lt;p&gt;ITA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()&lt;/p&gt;',1,1,3,'1.2','1.2','1.1','1','0.9','2025-09-30',now(),now(),2,'0.1','1');</v>
      </c>
      <c r="P110" s="30">
        <v>0.1</v>
      </c>
    </row>
    <row r="111" spans="1:16" x14ac:dyDescent="0.2">
      <c r="A111" t="s">
        <v>58</v>
      </c>
      <c r="B111" t="s">
        <v>139</v>
      </c>
      <c r="C111" s="29">
        <f>VLOOKUP(B111,[1]!Consulta1[#All],2,FALSE)</f>
        <v>39776</v>
      </c>
      <c r="E111">
        <v>100</v>
      </c>
      <c r="F111">
        <v>4.5</v>
      </c>
      <c r="G111">
        <v>3.8</v>
      </c>
      <c r="H111">
        <v>1.6</v>
      </c>
      <c r="I111">
        <v>1.5</v>
      </c>
      <c r="J111" t="s">
        <v>80</v>
      </c>
      <c r="K111">
        <v>1.3</v>
      </c>
      <c r="M111" s="29">
        <f>VLOOKUP(A111,[1]!Consulta1[#All],2,FALSE)</f>
        <v>428</v>
      </c>
      <c r="O111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('428','39776','8265','8299','4','100','4.5','&lt;p&gt;ITA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()&lt;/p&gt;',1,1,3,'3.8','1.6','1.5','1.4','1.3','2025-09-30',now(),now(),2,'0.1','1');</v>
      </c>
      <c r="P111" s="30">
        <v>0.1</v>
      </c>
    </row>
    <row r="112" spans="1:16" x14ac:dyDescent="0.2">
      <c r="A112" t="s">
        <v>58</v>
      </c>
      <c r="B112" t="s">
        <v>140</v>
      </c>
      <c r="C112" s="29">
        <f>VLOOKUP(B112,[1]!Consulta1[#All],2,FALSE)</f>
        <v>50708</v>
      </c>
      <c r="E112">
        <v>100</v>
      </c>
      <c r="F112">
        <v>4.5</v>
      </c>
      <c r="G112">
        <v>3.8</v>
      </c>
      <c r="H112">
        <v>1.6</v>
      </c>
      <c r="I112">
        <v>1.5</v>
      </c>
      <c r="J112" t="s">
        <v>80</v>
      </c>
      <c r="K112">
        <v>1.3</v>
      </c>
      <c r="M112" s="29">
        <f>VLOOKUP(A112,[1]!Consulta1[#All],2,FALSE)</f>
        <v>428</v>
      </c>
      <c r="O112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('428','50708','8265','8299','4','100','4.5','&lt;p&gt;ITA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()&lt;/p&gt;',1,1,3,'3.8','1.6','1.5','1.4','1.3','2025-09-30',now(),now(),2,'0.1','1');</v>
      </c>
      <c r="P112" s="30">
        <v>0.1</v>
      </c>
    </row>
    <row r="113" spans="1:16" x14ac:dyDescent="0.2">
      <c r="A113" t="s">
        <v>58</v>
      </c>
      <c r="B113" t="s">
        <v>141</v>
      </c>
      <c r="C113" s="29">
        <f>VLOOKUP(B113,[1]!Consulta1[#All],2,FALSE)</f>
        <v>50977</v>
      </c>
      <c r="E113">
        <v>100</v>
      </c>
      <c r="F113">
        <v>1.5</v>
      </c>
      <c r="G113">
        <v>1.5</v>
      </c>
      <c r="H113">
        <v>1.4</v>
      </c>
      <c r="I113">
        <v>1.3</v>
      </c>
      <c r="J113" t="s">
        <v>82</v>
      </c>
      <c r="K113">
        <v>1.1000000000000001</v>
      </c>
      <c r="M113" s="29">
        <f>VLOOKUP(A113,[1]!Consulta1[#All],2,FALSE)</f>
        <v>428</v>
      </c>
      <c r="O113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('428','50977','8265','8299','4','100','1.5','&lt;p&gt;ITA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()&lt;/p&gt;',1,1,3,'1.5','1.4','1.3','1.2','1.1','2025-09-30',now(),now(),2,'0.1','1');</v>
      </c>
      <c r="P113" s="30">
        <v>0.1</v>
      </c>
    </row>
    <row r="114" spans="1:16" x14ac:dyDescent="0.2">
      <c r="A114" t="s">
        <v>58</v>
      </c>
      <c r="B114" t="s">
        <v>142</v>
      </c>
      <c r="C114" s="29">
        <f>VLOOKUP(B114,[1]!Consulta1[#All],2,FALSE)</f>
        <v>51126</v>
      </c>
      <c r="E114">
        <v>100</v>
      </c>
      <c r="F114">
        <v>1.5</v>
      </c>
      <c r="G114">
        <v>1.5</v>
      </c>
      <c r="H114">
        <v>1.4</v>
      </c>
      <c r="I114">
        <v>1.3</v>
      </c>
      <c r="J114" t="s">
        <v>82</v>
      </c>
      <c r="K114">
        <v>1.1000000000000001</v>
      </c>
      <c r="M114" s="29">
        <f>VLOOKUP(A114,[1]!Consulta1[#All],2,FALSE)</f>
        <v>428</v>
      </c>
      <c r="O114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('428','51126','8265','8299','4','100','1.5','&lt;p&gt;ITA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()&lt;/p&gt;',1,1,3,'1.5','1.4','1.3','1.2','1.1','2025-09-30',now(),now(),2,'0.1','1');</v>
      </c>
      <c r="P114" s="30">
        <v>0.1</v>
      </c>
    </row>
    <row r="115" spans="1:16" x14ac:dyDescent="0.2">
      <c r="A115" t="s">
        <v>58</v>
      </c>
      <c r="B115" t="s">
        <v>143</v>
      </c>
      <c r="C115" s="29">
        <f>VLOOKUP(B115,[1]!Consulta1[#All],2,FALSE)</f>
        <v>50969</v>
      </c>
      <c r="E115">
        <v>100</v>
      </c>
      <c r="F115">
        <v>1.5</v>
      </c>
      <c r="G115">
        <v>1.5</v>
      </c>
      <c r="H115">
        <v>1.4</v>
      </c>
      <c r="I115">
        <v>1.3</v>
      </c>
      <c r="J115" t="s">
        <v>82</v>
      </c>
      <c r="K115">
        <v>1.1000000000000001</v>
      </c>
      <c r="M115" s="29">
        <f>VLOOKUP(A115,[1]!Consulta1[#All],2,FALSE)</f>
        <v>428</v>
      </c>
      <c r="O115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('428','50969','8265','8299','4','100','1.5','&lt;p&gt;ITA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()&lt;/p&gt;',1,1,3,'1.5','1.4','1.3','1.2','1.1','2025-09-30',now(),now(),2,'0.1','1');</v>
      </c>
      <c r="P115" s="30">
        <v>0.1</v>
      </c>
    </row>
    <row r="116" spans="1:16" x14ac:dyDescent="0.2">
      <c r="A116" t="s">
        <v>58</v>
      </c>
      <c r="B116" t="s">
        <v>144</v>
      </c>
      <c r="C116" s="29">
        <f>VLOOKUP(B116,[1]!Consulta1[#All],2,FALSE)</f>
        <v>50970</v>
      </c>
      <c r="E116">
        <v>100</v>
      </c>
      <c r="F116">
        <v>1.5</v>
      </c>
      <c r="G116">
        <v>1.5</v>
      </c>
      <c r="H116">
        <v>1.4</v>
      </c>
      <c r="I116">
        <v>1.3</v>
      </c>
      <c r="J116" t="s">
        <v>82</v>
      </c>
      <c r="K116">
        <v>1.1000000000000001</v>
      </c>
      <c r="M116" s="29">
        <f>VLOOKUP(A116,[1]!Consulta1[#All],2,FALSE)</f>
        <v>428</v>
      </c>
      <c r="O116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('428','50970','8265','8299','4','100','1.5','&lt;p&gt;ITA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()&lt;/p&gt;',1,1,3,'1.5','1.4','1.3','1.2','1.1','2025-09-30',now(),now(),2,'0.1','1');</v>
      </c>
      <c r="P116" s="30">
        <v>0.1</v>
      </c>
    </row>
    <row r="117" spans="1:16" x14ac:dyDescent="0.2">
      <c r="A117" t="s">
        <v>58</v>
      </c>
      <c r="B117" t="s">
        <v>145</v>
      </c>
      <c r="C117" s="29">
        <f>VLOOKUP(B117,[1]!Consulta1[#All],2,FALSE)</f>
        <v>50972</v>
      </c>
      <c r="E117">
        <v>100</v>
      </c>
      <c r="F117">
        <v>1.5</v>
      </c>
      <c r="G117">
        <v>1.5</v>
      </c>
      <c r="H117">
        <v>1.4</v>
      </c>
      <c r="I117">
        <v>1.3</v>
      </c>
      <c r="J117" t="s">
        <v>82</v>
      </c>
      <c r="K117">
        <v>1.1000000000000001</v>
      </c>
      <c r="M117" s="29">
        <f>VLOOKUP(A117,[1]!Consulta1[#All],2,FALSE)</f>
        <v>428</v>
      </c>
      <c r="O117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('428','50972','8265','8299','4','100','1.5','&lt;p&gt;ITA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()&lt;/p&gt;',1,1,3,'1.5','1.4','1.3','1.2','1.1','2025-09-30',now(),now(),2,'0.1','1');</v>
      </c>
      <c r="P117" s="30">
        <v>0.1</v>
      </c>
    </row>
    <row r="118" spans="1:16" x14ac:dyDescent="0.2">
      <c r="A118" t="s">
        <v>58</v>
      </c>
      <c r="B118" t="s">
        <v>146</v>
      </c>
      <c r="C118" s="29">
        <f>VLOOKUP(B118,[1]!Consulta1[#All],2,FALSE)</f>
        <v>51381</v>
      </c>
      <c r="E118">
        <v>100</v>
      </c>
      <c r="F118">
        <v>1.5</v>
      </c>
      <c r="G118">
        <v>1.5</v>
      </c>
      <c r="H118">
        <v>1.4</v>
      </c>
      <c r="I118">
        <v>1.3</v>
      </c>
      <c r="J118" t="s">
        <v>82</v>
      </c>
      <c r="K118">
        <v>1.1000000000000001</v>
      </c>
      <c r="M118" s="29">
        <f>VLOOKUP(A118,[1]!Consulta1[#All],2,FALSE)</f>
        <v>428</v>
      </c>
      <c r="O118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('428','51381','8265','8299','4','100','1.5','&lt;p&gt;ITA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()&lt;/p&gt;',1,1,3,'1.5','1.4','1.3','1.2','1.1','2025-09-30',now(),now(),2,'0.1','1');</v>
      </c>
      <c r="P118" s="30">
        <v>0.1</v>
      </c>
    </row>
    <row r="119" spans="1:16" x14ac:dyDescent="0.2">
      <c r="A119" t="s">
        <v>58</v>
      </c>
      <c r="B119" t="s">
        <v>147</v>
      </c>
      <c r="C119" s="29">
        <f>VLOOKUP(B119,[1]!Consulta1[#All],2,FALSE)</f>
        <v>51285</v>
      </c>
      <c r="E119">
        <v>100</v>
      </c>
      <c r="F119">
        <v>1.5</v>
      </c>
      <c r="G119">
        <v>1.5</v>
      </c>
      <c r="H119">
        <v>1.4</v>
      </c>
      <c r="I119">
        <v>1.3</v>
      </c>
      <c r="J119" t="s">
        <v>82</v>
      </c>
      <c r="K119">
        <v>1.1000000000000001</v>
      </c>
      <c r="M119" s="29">
        <f>VLOOKUP(A119,[1]!Consulta1[#All],2,FALSE)</f>
        <v>428</v>
      </c>
      <c r="O119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('428','51285','8265','8299','4','100','1.5','&lt;p&gt;ITA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()&lt;/p&gt;',1,1,3,'1.5','1.4','1.3','1.2','1.1','2025-09-30',now(),now(),2,'0.1','1');</v>
      </c>
      <c r="P119" s="30">
        <v>0.1</v>
      </c>
    </row>
    <row r="120" spans="1:16" x14ac:dyDescent="0.2">
      <c r="A120" t="s">
        <v>58</v>
      </c>
      <c r="B120" t="s">
        <v>148</v>
      </c>
      <c r="C120" s="29">
        <f>VLOOKUP(B120,[1]!Consulta1[#All],2,FALSE)</f>
        <v>51147</v>
      </c>
      <c r="E120">
        <v>100</v>
      </c>
      <c r="F120">
        <v>1.5</v>
      </c>
      <c r="G120">
        <v>1.5</v>
      </c>
      <c r="H120">
        <v>1.4</v>
      </c>
      <c r="I120">
        <v>1.3</v>
      </c>
      <c r="J120" t="s">
        <v>82</v>
      </c>
      <c r="K120">
        <v>1.1000000000000001</v>
      </c>
      <c r="M120" s="29">
        <f>VLOOKUP(A120,[1]!Consulta1[#All],2,FALSE)</f>
        <v>428</v>
      </c>
      <c r="O120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('428','51147','8265','8299','4','100','1.5','&lt;p&gt;ITA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()&lt;/p&gt;',1,1,3,'1.5','1.4','1.3','1.2','1.1','2025-09-30',now(),now(),2,'0.1','1');</v>
      </c>
      <c r="P120" s="30">
        <v>0.1</v>
      </c>
    </row>
    <row r="121" spans="1:16" x14ac:dyDescent="0.2">
      <c r="A121" t="s">
        <v>58</v>
      </c>
      <c r="B121" t="s">
        <v>149</v>
      </c>
      <c r="C121" s="29">
        <f>VLOOKUP(B121,[1]!Consulta1[#All],2,FALSE)</f>
        <v>53322</v>
      </c>
      <c r="E121">
        <v>100</v>
      </c>
      <c r="F121">
        <v>1.5</v>
      </c>
      <c r="G121">
        <v>1.5</v>
      </c>
      <c r="H121">
        <v>1.4</v>
      </c>
      <c r="I121">
        <v>1.3</v>
      </c>
      <c r="J121" t="s">
        <v>82</v>
      </c>
      <c r="K121">
        <v>1.1000000000000001</v>
      </c>
      <c r="M121" s="29">
        <f>VLOOKUP(A121,[1]!Consulta1[#All],2,FALSE)</f>
        <v>428</v>
      </c>
      <c r="O121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('428','53322','8265','8299','4','100','1.5','&lt;p&gt;ITA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()&lt;/p&gt;',1,1,3,'1.5','1.4','1.3','1.2','1.1','2025-09-30',now(),now(),2,'0.1','1');</v>
      </c>
      <c r="P121" s="30">
        <v>0.1</v>
      </c>
    </row>
    <row r="122" spans="1:16" x14ac:dyDescent="0.2">
      <c r="A122" t="s">
        <v>58</v>
      </c>
      <c r="B122" t="s">
        <v>150</v>
      </c>
      <c r="C122" s="29">
        <f>VLOOKUP(B122,[1]!Consulta1[#All],2,FALSE)</f>
        <v>51286</v>
      </c>
      <c r="E122">
        <v>100</v>
      </c>
      <c r="F122">
        <v>1.5</v>
      </c>
      <c r="G122">
        <v>1.5</v>
      </c>
      <c r="H122">
        <v>1.4</v>
      </c>
      <c r="I122">
        <v>1.3</v>
      </c>
      <c r="J122" t="s">
        <v>82</v>
      </c>
      <c r="K122">
        <v>1.1000000000000001</v>
      </c>
      <c r="M122" s="29">
        <f>VLOOKUP(A122,[1]!Consulta1[#All],2,FALSE)</f>
        <v>428</v>
      </c>
      <c r="O122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('428','51286','8265','8299','4','100','1.5','&lt;p&gt;ITA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()&lt;/p&gt;',1,1,3,'1.5','1.4','1.3','1.2','1.1','2025-09-30',now(),now(),2,'0.1','1');</v>
      </c>
      <c r="P122" s="30">
        <v>0.1</v>
      </c>
    </row>
    <row r="123" spans="1:16" x14ac:dyDescent="0.2">
      <c r="A123" t="s">
        <v>58</v>
      </c>
      <c r="B123" t="s">
        <v>151</v>
      </c>
      <c r="C123" s="29">
        <f>VLOOKUP(B123,[1]!Consulta1[#All],2,FALSE)</f>
        <v>51287</v>
      </c>
      <c r="E123">
        <v>100</v>
      </c>
      <c r="F123">
        <v>1.5</v>
      </c>
      <c r="G123">
        <v>1.5</v>
      </c>
      <c r="H123">
        <v>1.4</v>
      </c>
      <c r="I123">
        <v>1.3</v>
      </c>
      <c r="J123" t="s">
        <v>82</v>
      </c>
      <c r="K123">
        <v>1.1000000000000001</v>
      </c>
      <c r="M123" s="29">
        <f>VLOOKUP(A123,[1]!Consulta1[#All],2,FALSE)</f>
        <v>428</v>
      </c>
      <c r="O123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('428','51287','8265','8299','4','100','1.5','&lt;p&gt;ITA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()&lt;/p&gt;',1,1,3,'1.5','1.4','1.3','1.2','1.1','2025-09-30',now(),now(),2,'0.1','1');</v>
      </c>
      <c r="P123" s="30">
        <v>0.1</v>
      </c>
    </row>
    <row r="124" spans="1:16" x14ac:dyDescent="0.2">
      <c r="A124" t="s">
        <v>58</v>
      </c>
      <c r="B124" t="s">
        <v>152</v>
      </c>
      <c r="C124" s="29">
        <f>VLOOKUP(B124,[1]!Consulta1[#All],2,FALSE)</f>
        <v>1097</v>
      </c>
      <c r="E124">
        <v>100</v>
      </c>
      <c r="F124">
        <v>1.2</v>
      </c>
      <c r="G124">
        <v>1.2</v>
      </c>
      <c r="H124">
        <v>1.2</v>
      </c>
      <c r="I124">
        <v>1.1000000000000001</v>
      </c>
      <c r="J124" t="s">
        <v>73</v>
      </c>
      <c r="K124">
        <v>0.9</v>
      </c>
      <c r="M124" s="29">
        <f>VLOOKUP(A124,[1]!Consulta1[#All],2,FALSE)</f>
        <v>428</v>
      </c>
      <c r="O124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('428','1097','8265','8299','4','100','1.2','&lt;p&gt;ITA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()&lt;/p&gt;',1,1,3,'1.2','1.2','1.1','1','0.9','2025-09-30',now(),now(),2,'0.1','1');</v>
      </c>
      <c r="P124" s="30">
        <v>0.1</v>
      </c>
    </row>
    <row r="125" spans="1:16" x14ac:dyDescent="0.2">
      <c r="A125" t="s">
        <v>58</v>
      </c>
      <c r="B125" t="s">
        <v>153</v>
      </c>
      <c r="C125" s="29">
        <f>VLOOKUP(B125,[1]!Consulta1[#All],2,FALSE)</f>
        <v>39774</v>
      </c>
      <c r="E125">
        <v>100</v>
      </c>
      <c r="F125">
        <v>1.2</v>
      </c>
      <c r="G125">
        <v>1.2</v>
      </c>
      <c r="H125">
        <v>1.2</v>
      </c>
      <c r="I125">
        <v>1.1000000000000001</v>
      </c>
      <c r="J125" t="s">
        <v>73</v>
      </c>
      <c r="K125">
        <v>0.9</v>
      </c>
      <c r="M125" s="29">
        <f>VLOOKUP(A125,[1]!Consulta1[#All],2,FALSE)</f>
        <v>428</v>
      </c>
      <c r="O125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('428','39774','8265','8299','4','100','1.2','&lt;p&gt;ITA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()&lt;/p&gt;',1,1,3,'1.2','1.2','1.1','1','0.9','2025-09-30',now(),now(),2,'0.1','1');</v>
      </c>
      <c r="P125" s="30">
        <v>0.1</v>
      </c>
    </row>
    <row r="126" spans="1:16" x14ac:dyDescent="0.2">
      <c r="A126" t="s">
        <v>58</v>
      </c>
      <c r="B126" t="s">
        <v>154</v>
      </c>
      <c r="C126" s="29">
        <f>VLOOKUP(B126,[1]!Consulta1[#All],2,FALSE)</f>
        <v>50862</v>
      </c>
      <c r="E126">
        <v>100</v>
      </c>
      <c r="F126">
        <v>1.2</v>
      </c>
      <c r="G126">
        <v>1.2</v>
      </c>
      <c r="H126">
        <v>1.2</v>
      </c>
      <c r="I126">
        <v>1.1000000000000001</v>
      </c>
      <c r="J126" t="s">
        <v>73</v>
      </c>
      <c r="K126">
        <v>0.9</v>
      </c>
      <c r="M126" s="29">
        <f>VLOOKUP(A126,[1]!Consulta1[#All],2,FALSE)</f>
        <v>428</v>
      </c>
      <c r="O126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('428','50862','8265','8299','4','100','1.2','&lt;p&gt;ITA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()&lt;/p&gt;',1,1,3,'1.2','1.2','1.1','1','0.9','2025-09-30',now(),now(),2,'0.1','1');</v>
      </c>
      <c r="P126" s="30">
        <v>0.1</v>
      </c>
    </row>
    <row r="127" spans="1:16" x14ac:dyDescent="0.2">
      <c r="A127" t="s">
        <v>58</v>
      </c>
      <c r="B127" t="s">
        <v>155</v>
      </c>
      <c r="C127" s="29">
        <f>VLOOKUP(B127,[1]!Consulta1[#All],2,FALSE)</f>
        <v>39775</v>
      </c>
      <c r="E127">
        <v>100</v>
      </c>
      <c r="F127">
        <v>1.2</v>
      </c>
      <c r="G127">
        <v>1.2</v>
      </c>
      <c r="H127">
        <v>1.2</v>
      </c>
      <c r="I127">
        <v>1.1000000000000001</v>
      </c>
      <c r="J127" t="s">
        <v>73</v>
      </c>
      <c r="K127">
        <v>0.9</v>
      </c>
      <c r="M127" s="29">
        <f>VLOOKUP(A127,[1]!Consulta1[#All],2,FALSE)</f>
        <v>428</v>
      </c>
      <c r="O127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('428','39775','8265','8299','4','100','1.2','&lt;p&gt;ITA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()&lt;/p&gt;',1,1,3,'1.2','1.2','1.1','1','0.9','2025-09-30',now(),now(),2,'0.1','1');</v>
      </c>
      <c r="P127" s="30">
        <v>0.1</v>
      </c>
    </row>
    <row r="128" spans="1:16" x14ac:dyDescent="0.2">
      <c r="A128" t="s">
        <v>58</v>
      </c>
      <c r="B128" t="s">
        <v>156</v>
      </c>
      <c r="C128" s="29">
        <f>VLOOKUP(B128,[1]!Consulta1[#All],2,FALSE)</f>
        <v>50842</v>
      </c>
      <c r="E128">
        <v>100</v>
      </c>
      <c r="F128">
        <v>1.2</v>
      </c>
      <c r="G128">
        <v>1.2</v>
      </c>
      <c r="H128">
        <v>1.2</v>
      </c>
      <c r="I128">
        <v>1.1000000000000001</v>
      </c>
      <c r="J128" t="s">
        <v>73</v>
      </c>
      <c r="K128">
        <v>0.9</v>
      </c>
      <c r="M128" s="29">
        <f>VLOOKUP(A128,[1]!Consulta1[#All],2,FALSE)</f>
        <v>428</v>
      </c>
      <c r="O128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('428','50842','8265','8299','4','100','1.2','&lt;p&gt;ITA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()&lt;/p&gt;',1,1,3,'1.2','1.2','1.1','1','0.9','2025-09-30',now(),now(),2,'0.1','1');</v>
      </c>
      <c r="P128" s="30">
        <v>0.1</v>
      </c>
    </row>
    <row r="129" spans="1:16" x14ac:dyDescent="0.2">
      <c r="A129" t="s">
        <v>58</v>
      </c>
      <c r="B129" t="s">
        <v>157</v>
      </c>
      <c r="C129" s="29">
        <f>VLOOKUP(B129,[1]!Consulta1[#All],2,FALSE)</f>
        <v>50995</v>
      </c>
      <c r="E129">
        <v>100</v>
      </c>
      <c r="F129">
        <v>1.2</v>
      </c>
      <c r="G129">
        <v>1.2</v>
      </c>
      <c r="H129">
        <v>1.2</v>
      </c>
      <c r="I129">
        <v>1.1000000000000001</v>
      </c>
      <c r="J129" t="s">
        <v>73</v>
      </c>
      <c r="K129">
        <v>0.9</v>
      </c>
      <c r="M129" s="29">
        <f>VLOOKUP(A129,[1]!Consulta1[#All],2,FALSE)</f>
        <v>428</v>
      </c>
      <c r="O129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('428','50995','8265','8299','4','100','1.2','&lt;p&gt;ITA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()&lt;/p&gt;',1,1,3,'1.2','1.2','1.1','1','0.9','2025-09-30',now(),now(),2,'0.1','1');</v>
      </c>
      <c r="P129" s="30">
        <v>0.1</v>
      </c>
    </row>
    <row r="130" spans="1:16" x14ac:dyDescent="0.2">
      <c r="A130" t="s">
        <v>58</v>
      </c>
      <c r="B130" t="s">
        <v>158</v>
      </c>
      <c r="C130" s="29">
        <f>VLOOKUP(B130,[1]!Consulta1[#All],2,FALSE)</f>
        <v>50908</v>
      </c>
      <c r="E130">
        <v>100</v>
      </c>
      <c r="F130">
        <v>1.2</v>
      </c>
      <c r="G130">
        <v>1.2</v>
      </c>
      <c r="H130">
        <v>1.2</v>
      </c>
      <c r="I130">
        <v>1.1000000000000001</v>
      </c>
      <c r="J130" t="s">
        <v>73</v>
      </c>
      <c r="K130">
        <v>0.9</v>
      </c>
      <c r="M130" s="29">
        <f>VLOOKUP(A130,[1]!Consulta1[#All],2,FALSE)</f>
        <v>428</v>
      </c>
      <c r="O130" s="29" t="str">
        <f t="shared" si="1"/>
        <v>insert tariffs (origin_id,destin_id,provider_id,airline_id,comodity_id,min,n,comments,active,user_id,type_tariff,forty_five_more,hundred_more,three_hundred_more,five_hundred_more,thousand_more,f_end,created_at,updated_at,airchaft,cost, offer) values ('428','50908','8265','8299','4','100','1.2','&lt;p&gt;ITA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()&lt;/p&gt;',1,1,3,'1.2','1.2','1.1','1','0.9','2025-09-30',now(),now(),2,'0.1','1');</v>
      </c>
      <c r="P130" s="30">
        <v>0.1</v>
      </c>
    </row>
    <row r="131" spans="1:16" x14ac:dyDescent="0.2">
      <c r="A131" t="s">
        <v>58</v>
      </c>
      <c r="B131" t="s">
        <v>159</v>
      </c>
      <c r="C131" s="29">
        <f>VLOOKUP(B131,[1]!Consulta1[#All],2,FALSE)</f>
        <v>50909</v>
      </c>
      <c r="E131">
        <v>100</v>
      </c>
      <c r="F131">
        <v>1.2</v>
      </c>
      <c r="G131">
        <v>1.2</v>
      </c>
      <c r="H131">
        <v>1.2</v>
      </c>
      <c r="I131">
        <v>1.1000000000000001</v>
      </c>
      <c r="J131" t="s">
        <v>73</v>
      </c>
      <c r="K131">
        <v>0.9</v>
      </c>
      <c r="M131" s="29">
        <f>VLOOKUP(A131,[1]!Consulta1[#All],2,FALSE)</f>
        <v>428</v>
      </c>
      <c r="O131" s="29" t="str">
        <f t="shared" ref="O131:O194" si="2">CONCATENATE("insert tariffs (origin_id,destin_id,provider_id,airline_id,comodity_id,min,n,comments,active,user_id,type_tariff,forty_five_more,hundred_more,three_hundred_more,five_hundred_more,thousand_more,f_end,created_at,updated_at,airchaft,cost, offer) values ('",M131,"','",C131,"','8265','8299','",$N$2,"','",E131,"','",F131,"','",$L$2,"',1,1,3,'",G131,"','",H131,"','",I131,"','",J131,"','",K131,"','2025-09-30',now(),now(),2,'",P131,"','1');")</f>
        <v>insert tariffs (origin_id,destin_id,provider_id,airline_id,comodity_id,min,n,comments,active,user_id,type_tariff,forty_five_more,hundred_more,three_hundred_more,five_hundred_more,thousand_more,f_end,created_at,updated_at,airchaft,cost, offer) values ('428','50909','8265','8299','4','100','1.2','&lt;p&gt;ITA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()&lt;/p&gt;',1,1,3,'1.2','1.2','1.1','1','0.9','2025-09-30',now(),now(),2,'0.1','1');</v>
      </c>
      <c r="P131" s="30">
        <v>0.1</v>
      </c>
    </row>
    <row r="132" spans="1:16" x14ac:dyDescent="0.2">
      <c r="A132" t="s">
        <v>58</v>
      </c>
      <c r="B132" t="s">
        <v>160</v>
      </c>
      <c r="C132" s="29">
        <f>VLOOKUP(B132,[1]!Consulta1[#All],2,FALSE)</f>
        <v>39778</v>
      </c>
      <c r="E132">
        <v>100</v>
      </c>
      <c r="F132">
        <v>1.2</v>
      </c>
      <c r="G132">
        <v>1.2</v>
      </c>
      <c r="H132">
        <v>1.2</v>
      </c>
      <c r="I132">
        <v>1.1000000000000001</v>
      </c>
      <c r="J132" t="s">
        <v>73</v>
      </c>
      <c r="K132">
        <v>0.9</v>
      </c>
      <c r="M132" s="29">
        <f>VLOOKUP(A132,[1]!Consulta1[#All],2,FALSE)</f>
        <v>428</v>
      </c>
      <c r="O132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('428','39778','8265','8299','4','100','1.2','&lt;p&gt;ITA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()&lt;/p&gt;',1,1,3,'1.2','1.2','1.1','1','0.9','2025-09-30',now(),now(),2,'0.1','1');</v>
      </c>
      <c r="P132" s="30">
        <v>0.1</v>
      </c>
    </row>
    <row r="133" spans="1:16" x14ac:dyDescent="0.2">
      <c r="A133" t="s">
        <v>58</v>
      </c>
      <c r="B133" t="s">
        <v>161</v>
      </c>
      <c r="C133" s="29">
        <f>VLOOKUP(B133,[1]!Consulta1[#All],2,FALSE)</f>
        <v>50914</v>
      </c>
      <c r="E133">
        <v>100</v>
      </c>
      <c r="F133">
        <v>1.2</v>
      </c>
      <c r="G133">
        <v>1.2</v>
      </c>
      <c r="H133">
        <v>1.2</v>
      </c>
      <c r="I133">
        <v>1.1000000000000001</v>
      </c>
      <c r="J133" t="s">
        <v>73</v>
      </c>
      <c r="K133">
        <v>0.9</v>
      </c>
      <c r="M133" s="29">
        <f>VLOOKUP(A133,[1]!Consulta1[#All],2,FALSE)</f>
        <v>428</v>
      </c>
      <c r="O133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('428','50914','8265','8299','4','100','1.2','&lt;p&gt;ITA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()&lt;/p&gt;',1,1,3,'1.2','1.2','1.1','1','0.9','2025-09-30',now(),now(),2,'0.1','1');</v>
      </c>
      <c r="P133" s="30">
        <v>0.1</v>
      </c>
    </row>
    <row r="134" spans="1:16" x14ac:dyDescent="0.2">
      <c r="A134" t="s">
        <v>58</v>
      </c>
      <c r="B134" t="s">
        <v>162</v>
      </c>
      <c r="C134" s="29">
        <f>VLOOKUP(B134,[1]!Consulta1[#All],2,FALSE)</f>
        <v>51114</v>
      </c>
      <c r="E134">
        <v>100</v>
      </c>
      <c r="F134">
        <v>1.2</v>
      </c>
      <c r="G134">
        <v>1.2</v>
      </c>
      <c r="H134">
        <v>1.2</v>
      </c>
      <c r="I134">
        <v>1.1000000000000001</v>
      </c>
      <c r="J134" t="s">
        <v>73</v>
      </c>
      <c r="K134">
        <v>0.9</v>
      </c>
      <c r="M134" s="29">
        <f>VLOOKUP(A134,[1]!Consulta1[#All],2,FALSE)</f>
        <v>428</v>
      </c>
      <c r="O134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('428','51114','8265','8299','4','100','1.2','&lt;p&gt;ITA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()&lt;/p&gt;',1,1,3,'1.2','1.2','1.1','1','0.9','2025-09-30',now(),now(),2,'0.1','1');</v>
      </c>
      <c r="P134" s="30">
        <v>0.1</v>
      </c>
    </row>
    <row r="135" spans="1:16" x14ac:dyDescent="0.2">
      <c r="A135" t="s">
        <v>58</v>
      </c>
      <c r="B135" t="s">
        <v>163</v>
      </c>
      <c r="C135" s="29">
        <f>VLOOKUP(B135,[1]!Consulta1[#All],2,FALSE)</f>
        <v>51120</v>
      </c>
      <c r="E135">
        <v>100</v>
      </c>
      <c r="F135">
        <v>1.2</v>
      </c>
      <c r="G135">
        <v>1.2</v>
      </c>
      <c r="H135">
        <v>1.2</v>
      </c>
      <c r="I135">
        <v>1.1000000000000001</v>
      </c>
      <c r="J135" t="s">
        <v>73</v>
      </c>
      <c r="K135">
        <v>0.9</v>
      </c>
      <c r="M135" s="29">
        <f>VLOOKUP(A135,[1]!Consulta1[#All],2,FALSE)</f>
        <v>428</v>
      </c>
      <c r="O135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('428','51120','8265','8299','4','100','1.2','&lt;p&gt;ITA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()&lt;/p&gt;',1,1,3,'1.2','1.2','1.1','1','0.9','2025-09-30',now(),now(),2,'0.1','1');</v>
      </c>
      <c r="P135" s="30">
        <v>0.1</v>
      </c>
    </row>
    <row r="136" spans="1:16" x14ac:dyDescent="0.2">
      <c r="A136" t="s">
        <v>58</v>
      </c>
      <c r="B136" t="s">
        <v>164</v>
      </c>
      <c r="C136" s="29">
        <f>VLOOKUP(B136,[1]!Consulta1[#All],2,FALSE)</f>
        <v>51096</v>
      </c>
      <c r="E136">
        <v>100</v>
      </c>
      <c r="F136">
        <v>4.5</v>
      </c>
      <c r="G136">
        <v>3.8</v>
      </c>
      <c r="H136">
        <v>2.15</v>
      </c>
      <c r="I136">
        <v>2.0499999999999998</v>
      </c>
      <c r="J136" t="s">
        <v>100</v>
      </c>
      <c r="K136">
        <v>1.85</v>
      </c>
      <c r="M136" s="29">
        <f>VLOOKUP(A136,[1]!Consulta1[#All],2,FALSE)</f>
        <v>428</v>
      </c>
      <c r="O136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('428','51096','8265','8299','4','100','4.5','&lt;p&gt;ITA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()&lt;/p&gt;',1,1,3,'3.8','2.15','2.05','1.95','1.85','2025-09-30',now(),now(),2,'0.1','1');</v>
      </c>
      <c r="P136" s="30">
        <v>0.1</v>
      </c>
    </row>
    <row r="137" spans="1:16" x14ac:dyDescent="0.2">
      <c r="A137" t="s">
        <v>58</v>
      </c>
      <c r="B137" t="s">
        <v>165</v>
      </c>
      <c r="C137" s="29">
        <f>VLOOKUP(B137,[1]!Consulta1[#All],2,FALSE)</f>
        <v>50922</v>
      </c>
      <c r="E137">
        <v>100</v>
      </c>
      <c r="F137">
        <v>4.5</v>
      </c>
      <c r="G137">
        <v>3.8</v>
      </c>
      <c r="H137">
        <v>2.15</v>
      </c>
      <c r="I137">
        <v>2.0499999999999998</v>
      </c>
      <c r="J137" t="s">
        <v>100</v>
      </c>
      <c r="K137">
        <v>1.85</v>
      </c>
      <c r="M137" s="29">
        <f>VLOOKUP(A137,[1]!Consulta1[#All],2,FALSE)</f>
        <v>428</v>
      </c>
      <c r="O137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('428','50922','8265','8299','4','100','4.5','&lt;p&gt;ITA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()&lt;/p&gt;',1,1,3,'3.8','2.15','2.05','1.95','1.85','2025-09-30',now(),now(),2,'0.1','1');</v>
      </c>
      <c r="P137" s="30">
        <v>0.1</v>
      </c>
    </row>
    <row r="138" spans="1:16" x14ac:dyDescent="0.2">
      <c r="A138" t="s">
        <v>58</v>
      </c>
      <c r="B138" t="s">
        <v>54</v>
      </c>
      <c r="C138" s="29">
        <f>VLOOKUP(B138,[1]!Consulta1[#All],2,FALSE)</f>
        <v>51004</v>
      </c>
      <c r="E138">
        <v>100</v>
      </c>
      <c r="F138">
        <v>4.5</v>
      </c>
      <c r="G138">
        <v>3.8</v>
      </c>
      <c r="H138">
        <v>2.15</v>
      </c>
      <c r="I138">
        <v>2.0499999999999998</v>
      </c>
      <c r="J138" t="s">
        <v>100</v>
      </c>
      <c r="K138">
        <v>1.85</v>
      </c>
      <c r="M138" s="29">
        <f>VLOOKUP(A138,[1]!Consulta1[#All],2,FALSE)</f>
        <v>428</v>
      </c>
      <c r="O138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('428','51004','8265','8299','4','100','4.5','&lt;p&gt;ITA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()&lt;/p&gt;',1,1,3,'3.8','2.15','2.05','1.95','1.85','2025-09-30',now(),now(),2,'0.1','1');</v>
      </c>
      <c r="P138" s="30">
        <v>0.1</v>
      </c>
    </row>
    <row r="139" spans="1:16" x14ac:dyDescent="0.2">
      <c r="A139" t="s">
        <v>58</v>
      </c>
      <c r="B139" t="s">
        <v>51</v>
      </c>
      <c r="C139" s="29">
        <f>VLOOKUP(B139,[1]!Consulta1[#All],2,FALSE)</f>
        <v>50830</v>
      </c>
      <c r="E139">
        <v>100</v>
      </c>
      <c r="F139">
        <v>4.5</v>
      </c>
      <c r="G139">
        <v>3.8</v>
      </c>
      <c r="H139">
        <v>2.0499999999999998</v>
      </c>
      <c r="I139">
        <v>1.95</v>
      </c>
      <c r="J139" t="s">
        <v>101</v>
      </c>
      <c r="K139">
        <v>1.75</v>
      </c>
      <c r="M139" s="29">
        <f>VLOOKUP(A139,[1]!Consulta1[#All],2,FALSE)</f>
        <v>428</v>
      </c>
      <c r="O139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('428','50830','8265','8299','4','100','4.5','&lt;p&gt;ITA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()&lt;/p&gt;',1,1,3,'3.8','2.05','1.95','1.85','1.75','2025-09-30',now(),now(),2,'0.1','1');</v>
      </c>
      <c r="P139" s="30">
        <v>0.1</v>
      </c>
    </row>
    <row r="140" spans="1:16" x14ac:dyDescent="0.2">
      <c r="A140" t="s">
        <v>58</v>
      </c>
      <c r="B140" t="s">
        <v>166</v>
      </c>
      <c r="C140" s="29">
        <f>VLOOKUP(B140,[1]!Consulta1[#All],2,FALSE)</f>
        <v>529</v>
      </c>
      <c r="E140">
        <v>100</v>
      </c>
      <c r="F140">
        <v>4.5</v>
      </c>
      <c r="G140">
        <v>3.8</v>
      </c>
      <c r="H140">
        <v>2.0499999999999998</v>
      </c>
      <c r="I140">
        <v>1.95</v>
      </c>
      <c r="J140" t="s">
        <v>101</v>
      </c>
      <c r="K140">
        <v>1.65</v>
      </c>
      <c r="M140" s="29">
        <f>VLOOKUP(A140,[1]!Consulta1[#All],2,FALSE)</f>
        <v>428</v>
      </c>
      <c r="O140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('428','529','8265','8299','4','100','4.5','&lt;p&gt;ITA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()&lt;/p&gt;',1,1,3,'3.8','2.05','1.95','1.85','1.65','2025-09-30',now(),now(),2,'0.1','1');</v>
      </c>
      <c r="P140" s="30">
        <v>0.1</v>
      </c>
    </row>
    <row r="141" spans="1:16" x14ac:dyDescent="0.2">
      <c r="A141" t="s">
        <v>58</v>
      </c>
      <c r="B141" t="s">
        <v>167</v>
      </c>
      <c r="C141" s="29">
        <f>VLOOKUP(B141,[1]!Consulta1[#All],2,FALSE)</f>
        <v>50954</v>
      </c>
      <c r="E141">
        <v>100</v>
      </c>
      <c r="F141">
        <v>4.5</v>
      </c>
      <c r="G141">
        <v>3.8</v>
      </c>
      <c r="H141">
        <v>2.0499999999999998</v>
      </c>
      <c r="I141">
        <v>1.95</v>
      </c>
      <c r="J141" t="s">
        <v>101</v>
      </c>
      <c r="K141">
        <v>1.65</v>
      </c>
      <c r="M141" s="29">
        <f>VLOOKUP(A141,[1]!Consulta1[#All],2,FALSE)</f>
        <v>428</v>
      </c>
      <c r="O141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('428','50954','8265','8299','4','100','4.5','&lt;p&gt;ITA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()&lt;/p&gt;',1,1,3,'3.8','2.05','1.95','1.85','1.65','2025-09-30',now(),now(),2,'0.1','1');</v>
      </c>
      <c r="P141" s="30">
        <v>0.1</v>
      </c>
    </row>
    <row r="142" spans="1:16" x14ac:dyDescent="0.2">
      <c r="A142" t="s">
        <v>58</v>
      </c>
      <c r="B142" t="s">
        <v>52</v>
      </c>
      <c r="C142" s="29">
        <f>VLOOKUP(B142,[1]!Consulta1[#All],2,FALSE)</f>
        <v>39771</v>
      </c>
      <c r="E142">
        <v>100</v>
      </c>
      <c r="F142">
        <v>4.5</v>
      </c>
      <c r="G142">
        <v>3.8</v>
      </c>
      <c r="H142">
        <v>1.65</v>
      </c>
      <c r="I142">
        <v>1.55</v>
      </c>
      <c r="J142" t="s">
        <v>105</v>
      </c>
      <c r="K142">
        <v>1.35</v>
      </c>
      <c r="M142" s="29">
        <f>VLOOKUP(A142,[1]!Consulta1[#All],2,FALSE)</f>
        <v>428</v>
      </c>
      <c r="O142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('428','39771','8265','8299','4','100','4.5','&lt;p&gt;ITA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()&lt;/p&gt;',1,1,3,'3.8','1.65','1.55','1.45','1.35','2025-09-30',now(),now(),2,'0.1','1');</v>
      </c>
      <c r="P142" s="30">
        <v>0.1</v>
      </c>
    </row>
    <row r="143" spans="1:16" x14ac:dyDescent="0.2">
      <c r="A143" t="s">
        <v>59</v>
      </c>
      <c r="B143" t="s">
        <v>47</v>
      </c>
      <c r="C143" s="29">
        <f>VLOOKUP(B143,[1]!Consulta1[#All],2,FALSE)</f>
        <v>50961</v>
      </c>
      <c r="E143">
        <v>100</v>
      </c>
      <c r="F143">
        <v>1.4</v>
      </c>
      <c r="G143">
        <v>1.4</v>
      </c>
      <c r="H143">
        <v>1.3</v>
      </c>
      <c r="I143">
        <v>1.2</v>
      </c>
      <c r="J143" t="s">
        <v>111</v>
      </c>
      <c r="K143">
        <v>1</v>
      </c>
      <c r="M143" s="29">
        <f>VLOOKUP(A143,[1]!Consulta1[#All],2,FALSE)</f>
        <v>394</v>
      </c>
      <c r="O143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('394','50961','8265','8299','4','100','1.4','&lt;p&gt;ITA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()&lt;/p&gt;',1,1,3,'1.4','1.3','1.2','1.1','1','2025-09-30',now(),now(),2,'0.1','1');</v>
      </c>
      <c r="P143" s="30">
        <v>0.1</v>
      </c>
    </row>
    <row r="144" spans="1:16" x14ac:dyDescent="0.2">
      <c r="A144" t="s">
        <v>59</v>
      </c>
      <c r="B144" t="s">
        <v>48</v>
      </c>
      <c r="C144" s="29">
        <f>VLOOKUP(B144,[1]!Consulta1[#All],2,FALSE)</f>
        <v>49720</v>
      </c>
      <c r="E144">
        <v>100</v>
      </c>
      <c r="F144">
        <v>1.45</v>
      </c>
      <c r="G144">
        <v>1.45</v>
      </c>
      <c r="H144">
        <v>1.35</v>
      </c>
      <c r="I144">
        <v>1.25</v>
      </c>
      <c r="J144" t="s">
        <v>92</v>
      </c>
      <c r="K144">
        <v>1.05</v>
      </c>
      <c r="M144" s="29">
        <f>VLOOKUP(A144,[1]!Consulta1[#All],2,FALSE)</f>
        <v>394</v>
      </c>
      <c r="O144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('394','49720','8265','8299','4','100','1.45','&lt;p&gt;ITA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()&lt;/p&gt;',1,1,3,'1.45','1.35','1.25','1.15','1.05','2025-09-30',now(),now(),2,'0.1','1');</v>
      </c>
      <c r="P144" s="30">
        <v>0.1</v>
      </c>
    </row>
    <row r="145" spans="1:16" x14ac:dyDescent="0.2">
      <c r="A145" t="s">
        <v>59</v>
      </c>
      <c r="B145" t="s">
        <v>139</v>
      </c>
      <c r="C145" s="29">
        <f>VLOOKUP(B145,[1]!Consulta1[#All],2,FALSE)</f>
        <v>39776</v>
      </c>
      <c r="E145">
        <v>100</v>
      </c>
      <c r="F145">
        <v>4.5</v>
      </c>
      <c r="G145">
        <v>3.8</v>
      </c>
      <c r="H145">
        <v>1.4</v>
      </c>
      <c r="I145">
        <v>1.3</v>
      </c>
      <c r="J145" t="s">
        <v>82</v>
      </c>
      <c r="K145">
        <v>1.1000000000000001</v>
      </c>
      <c r="M145" s="29">
        <f>VLOOKUP(A145,[1]!Consulta1[#All],2,FALSE)</f>
        <v>394</v>
      </c>
      <c r="O145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('394','39776','8265','8299','4','100','4.5','&lt;p&gt;ITA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()&lt;/p&gt;',1,1,3,'3.8','1.4','1.3','1.2','1.1','2025-09-30',now(),now(),2,'0.1','1');</v>
      </c>
      <c r="P145" s="30">
        <v>0.1</v>
      </c>
    </row>
    <row r="146" spans="1:16" x14ac:dyDescent="0.2">
      <c r="A146" t="s">
        <v>59</v>
      </c>
      <c r="B146" t="s">
        <v>140</v>
      </c>
      <c r="C146" s="29">
        <f>VLOOKUP(B146,[1]!Consulta1[#All],2,FALSE)</f>
        <v>50708</v>
      </c>
      <c r="E146">
        <v>100</v>
      </c>
      <c r="F146">
        <v>4.5</v>
      </c>
      <c r="G146">
        <v>3.8</v>
      </c>
      <c r="H146">
        <v>1.4</v>
      </c>
      <c r="I146">
        <v>1.3</v>
      </c>
      <c r="J146" t="s">
        <v>82</v>
      </c>
      <c r="K146">
        <v>1.1000000000000001</v>
      </c>
      <c r="M146" s="29">
        <f>VLOOKUP(A146,[1]!Consulta1[#All],2,FALSE)</f>
        <v>394</v>
      </c>
      <c r="O146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('394','50708','8265','8299','4','100','4.5','&lt;p&gt;ITA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()&lt;/p&gt;',1,1,3,'3.8','1.4','1.3','1.2','1.1','2025-09-30',now(),now(),2,'0.1','1');</v>
      </c>
      <c r="P146" s="30">
        <v>0.1</v>
      </c>
    </row>
    <row r="147" spans="1:16" x14ac:dyDescent="0.2">
      <c r="A147" t="s">
        <v>59</v>
      </c>
      <c r="B147" t="s">
        <v>141</v>
      </c>
      <c r="C147" s="29">
        <f>VLOOKUP(B147,[1]!Consulta1[#All],2,FALSE)</f>
        <v>50977</v>
      </c>
      <c r="E147">
        <v>100</v>
      </c>
      <c r="F147">
        <v>1.7</v>
      </c>
      <c r="G147">
        <v>1.7</v>
      </c>
      <c r="H147">
        <v>1.35</v>
      </c>
      <c r="I147">
        <v>1.25</v>
      </c>
      <c r="J147" t="s">
        <v>92</v>
      </c>
      <c r="K147">
        <v>1.05</v>
      </c>
      <c r="M147" s="29">
        <f>VLOOKUP(A147,[1]!Consulta1[#All],2,FALSE)</f>
        <v>394</v>
      </c>
      <c r="O147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('394','50977','8265','8299','4','100','1.7','&lt;p&gt;ITA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()&lt;/p&gt;',1,1,3,'1.7','1.35','1.25','1.15','1.05','2025-09-30',now(),now(),2,'0.1','1');</v>
      </c>
      <c r="P147" s="30">
        <v>0.1</v>
      </c>
    </row>
    <row r="148" spans="1:16" x14ac:dyDescent="0.2">
      <c r="A148" t="s">
        <v>59</v>
      </c>
      <c r="B148" t="s">
        <v>142</v>
      </c>
      <c r="C148" s="29">
        <f>VLOOKUP(B148,[1]!Consulta1[#All],2,FALSE)</f>
        <v>51126</v>
      </c>
      <c r="E148">
        <v>100</v>
      </c>
      <c r="F148">
        <v>1.7</v>
      </c>
      <c r="G148">
        <v>1.7</v>
      </c>
      <c r="H148">
        <v>1.35</v>
      </c>
      <c r="I148">
        <v>1.25</v>
      </c>
      <c r="J148" t="s">
        <v>92</v>
      </c>
      <c r="K148">
        <v>1.05</v>
      </c>
      <c r="M148" s="29">
        <f>VLOOKUP(A148,[1]!Consulta1[#All],2,FALSE)</f>
        <v>394</v>
      </c>
      <c r="O148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('394','51126','8265','8299','4','100','1.7','&lt;p&gt;ITA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()&lt;/p&gt;',1,1,3,'1.7','1.35','1.25','1.15','1.05','2025-09-30',now(),now(),2,'0.1','1');</v>
      </c>
      <c r="P148" s="30">
        <v>0.1</v>
      </c>
    </row>
    <row r="149" spans="1:16" x14ac:dyDescent="0.2">
      <c r="A149" t="s">
        <v>59</v>
      </c>
      <c r="B149" t="s">
        <v>143</v>
      </c>
      <c r="C149" s="29">
        <f>VLOOKUP(B149,[1]!Consulta1[#All],2,FALSE)</f>
        <v>50969</v>
      </c>
      <c r="E149">
        <v>100</v>
      </c>
      <c r="F149">
        <v>1.7</v>
      </c>
      <c r="G149">
        <v>1.7</v>
      </c>
      <c r="H149">
        <v>1.35</v>
      </c>
      <c r="I149">
        <v>1.25</v>
      </c>
      <c r="J149" t="s">
        <v>92</v>
      </c>
      <c r="K149">
        <v>1.05</v>
      </c>
      <c r="M149" s="29">
        <f>VLOOKUP(A149,[1]!Consulta1[#All],2,FALSE)</f>
        <v>394</v>
      </c>
      <c r="O149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('394','50969','8265','8299','4','100','1.7','&lt;p&gt;ITA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()&lt;/p&gt;',1,1,3,'1.7','1.35','1.25','1.15','1.05','2025-09-30',now(),now(),2,'0.1','1');</v>
      </c>
      <c r="P149" s="30">
        <v>0.1</v>
      </c>
    </row>
    <row r="150" spans="1:16" x14ac:dyDescent="0.2">
      <c r="A150" t="s">
        <v>59</v>
      </c>
      <c r="B150" t="s">
        <v>144</v>
      </c>
      <c r="C150" s="29">
        <f>VLOOKUP(B150,[1]!Consulta1[#All],2,FALSE)</f>
        <v>50970</v>
      </c>
      <c r="E150">
        <v>100</v>
      </c>
      <c r="F150">
        <v>1.7</v>
      </c>
      <c r="G150">
        <v>1.7</v>
      </c>
      <c r="H150">
        <v>1.35</v>
      </c>
      <c r="I150">
        <v>1.25</v>
      </c>
      <c r="J150" t="s">
        <v>92</v>
      </c>
      <c r="K150">
        <v>1.05</v>
      </c>
      <c r="M150" s="29">
        <f>VLOOKUP(A150,[1]!Consulta1[#All],2,FALSE)</f>
        <v>394</v>
      </c>
      <c r="O150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('394','50970','8265','8299','4','100','1.7','&lt;p&gt;ITA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()&lt;/p&gt;',1,1,3,'1.7','1.35','1.25','1.15','1.05','2025-09-30',now(),now(),2,'0.1','1');</v>
      </c>
      <c r="P150" s="30">
        <v>0.1</v>
      </c>
    </row>
    <row r="151" spans="1:16" x14ac:dyDescent="0.2">
      <c r="A151" t="s">
        <v>59</v>
      </c>
      <c r="B151" t="s">
        <v>145</v>
      </c>
      <c r="C151" s="29">
        <f>VLOOKUP(B151,[1]!Consulta1[#All],2,FALSE)</f>
        <v>50972</v>
      </c>
      <c r="E151">
        <v>100</v>
      </c>
      <c r="F151">
        <v>1.7</v>
      </c>
      <c r="G151">
        <v>1.7</v>
      </c>
      <c r="H151">
        <v>1.35</v>
      </c>
      <c r="I151">
        <v>1.25</v>
      </c>
      <c r="J151" t="s">
        <v>92</v>
      </c>
      <c r="K151">
        <v>1.05</v>
      </c>
      <c r="M151" s="29">
        <f>VLOOKUP(A151,[1]!Consulta1[#All],2,FALSE)</f>
        <v>394</v>
      </c>
      <c r="O151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('394','50972','8265','8299','4','100','1.7','&lt;p&gt;ITA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()&lt;/p&gt;',1,1,3,'1.7','1.35','1.25','1.15','1.05','2025-09-30',now(),now(),2,'0.1','1');</v>
      </c>
      <c r="P151" s="30">
        <v>0.1</v>
      </c>
    </row>
    <row r="152" spans="1:16" x14ac:dyDescent="0.2">
      <c r="A152" t="s">
        <v>59</v>
      </c>
      <c r="B152" t="s">
        <v>146</v>
      </c>
      <c r="C152" s="29">
        <f>VLOOKUP(B152,[1]!Consulta1[#All],2,FALSE)</f>
        <v>51381</v>
      </c>
      <c r="E152">
        <v>100</v>
      </c>
      <c r="F152">
        <v>1.7</v>
      </c>
      <c r="G152">
        <v>1.7</v>
      </c>
      <c r="H152">
        <v>1.35</v>
      </c>
      <c r="I152">
        <v>1.25</v>
      </c>
      <c r="J152" t="s">
        <v>92</v>
      </c>
      <c r="K152">
        <v>1.05</v>
      </c>
      <c r="M152" s="29">
        <f>VLOOKUP(A152,[1]!Consulta1[#All],2,FALSE)</f>
        <v>394</v>
      </c>
      <c r="O152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('394','51381','8265','8299','4','100','1.7','&lt;p&gt;ITA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()&lt;/p&gt;',1,1,3,'1.7','1.35','1.25','1.15','1.05','2025-09-30',now(),now(),2,'0.1','1');</v>
      </c>
      <c r="P152" s="30">
        <v>0.1</v>
      </c>
    </row>
    <row r="153" spans="1:16" x14ac:dyDescent="0.2">
      <c r="A153" t="s">
        <v>59</v>
      </c>
      <c r="B153" t="s">
        <v>147</v>
      </c>
      <c r="C153" s="29">
        <f>VLOOKUP(B153,[1]!Consulta1[#All],2,FALSE)</f>
        <v>51285</v>
      </c>
      <c r="E153">
        <v>100</v>
      </c>
      <c r="F153">
        <v>1.7</v>
      </c>
      <c r="G153">
        <v>1.7</v>
      </c>
      <c r="H153">
        <v>1.35</v>
      </c>
      <c r="I153">
        <v>1.25</v>
      </c>
      <c r="J153" t="s">
        <v>92</v>
      </c>
      <c r="K153">
        <v>1.05</v>
      </c>
      <c r="M153" s="29">
        <f>VLOOKUP(A153,[1]!Consulta1[#All],2,FALSE)</f>
        <v>394</v>
      </c>
      <c r="O153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('394','51285','8265','8299','4','100','1.7','&lt;p&gt;ITA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()&lt;/p&gt;',1,1,3,'1.7','1.35','1.25','1.15','1.05','2025-09-30',now(),now(),2,'0.1','1');</v>
      </c>
      <c r="P153" s="30">
        <v>0.1</v>
      </c>
    </row>
    <row r="154" spans="1:16" x14ac:dyDescent="0.2">
      <c r="A154" t="s">
        <v>59</v>
      </c>
      <c r="B154" t="s">
        <v>148</v>
      </c>
      <c r="C154" s="29">
        <f>VLOOKUP(B154,[1]!Consulta1[#All],2,FALSE)</f>
        <v>51147</v>
      </c>
      <c r="E154">
        <v>100</v>
      </c>
      <c r="F154">
        <v>1.7</v>
      </c>
      <c r="G154">
        <v>1.7</v>
      </c>
      <c r="H154">
        <v>1.35</v>
      </c>
      <c r="I154">
        <v>1.25</v>
      </c>
      <c r="J154" t="s">
        <v>92</v>
      </c>
      <c r="K154">
        <v>1.05</v>
      </c>
      <c r="M154" s="29">
        <f>VLOOKUP(A154,[1]!Consulta1[#All],2,FALSE)</f>
        <v>394</v>
      </c>
      <c r="O154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('394','51147','8265','8299','4','100','1.7','&lt;p&gt;ITA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()&lt;/p&gt;',1,1,3,'1.7','1.35','1.25','1.15','1.05','2025-09-30',now(),now(),2,'0.1','1');</v>
      </c>
      <c r="P154" s="30">
        <v>0.1</v>
      </c>
    </row>
    <row r="155" spans="1:16" x14ac:dyDescent="0.2">
      <c r="A155" t="s">
        <v>59</v>
      </c>
      <c r="B155" t="s">
        <v>149</v>
      </c>
      <c r="C155" s="29">
        <f>VLOOKUP(B155,[1]!Consulta1[#All],2,FALSE)</f>
        <v>53322</v>
      </c>
      <c r="E155">
        <v>100</v>
      </c>
      <c r="F155">
        <v>1.7</v>
      </c>
      <c r="G155">
        <v>1.7</v>
      </c>
      <c r="H155">
        <v>1.35</v>
      </c>
      <c r="I155">
        <v>1.25</v>
      </c>
      <c r="J155" t="s">
        <v>92</v>
      </c>
      <c r="K155">
        <v>1.05</v>
      </c>
      <c r="M155" s="29">
        <f>VLOOKUP(A155,[1]!Consulta1[#All],2,FALSE)</f>
        <v>394</v>
      </c>
      <c r="O155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('394','53322','8265','8299','4','100','1.7','&lt;p&gt;ITA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()&lt;/p&gt;',1,1,3,'1.7','1.35','1.25','1.15','1.05','2025-09-30',now(),now(),2,'0.1','1');</v>
      </c>
      <c r="P155" s="30">
        <v>0.1</v>
      </c>
    </row>
    <row r="156" spans="1:16" x14ac:dyDescent="0.2">
      <c r="A156" t="s">
        <v>59</v>
      </c>
      <c r="B156" t="s">
        <v>150</v>
      </c>
      <c r="C156" s="29">
        <f>VLOOKUP(B156,[1]!Consulta1[#All],2,FALSE)</f>
        <v>51286</v>
      </c>
      <c r="E156">
        <v>100</v>
      </c>
      <c r="F156">
        <v>1.7</v>
      </c>
      <c r="G156">
        <v>1.7</v>
      </c>
      <c r="H156">
        <v>1.35</v>
      </c>
      <c r="I156">
        <v>1.25</v>
      </c>
      <c r="J156" t="s">
        <v>92</v>
      </c>
      <c r="K156">
        <v>1.05</v>
      </c>
      <c r="M156" s="29">
        <f>VLOOKUP(A156,[1]!Consulta1[#All],2,FALSE)</f>
        <v>394</v>
      </c>
      <c r="O156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('394','51286','8265','8299','4','100','1.7','&lt;p&gt;ITA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()&lt;/p&gt;',1,1,3,'1.7','1.35','1.25','1.15','1.05','2025-09-30',now(),now(),2,'0.1','1');</v>
      </c>
      <c r="P156" s="30">
        <v>0.1</v>
      </c>
    </row>
    <row r="157" spans="1:16" x14ac:dyDescent="0.2">
      <c r="A157" t="s">
        <v>59</v>
      </c>
      <c r="B157" t="s">
        <v>151</v>
      </c>
      <c r="C157" s="29">
        <f>VLOOKUP(B157,[1]!Consulta1[#All],2,FALSE)</f>
        <v>51287</v>
      </c>
      <c r="E157">
        <v>100</v>
      </c>
      <c r="F157">
        <v>1.7</v>
      </c>
      <c r="G157">
        <v>1.7</v>
      </c>
      <c r="H157">
        <v>1.35</v>
      </c>
      <c r="I157">
        <v>1.25</v>
      </c>
      <c r="J157" t="s">
        <v>92</v>
      </c>
      <c r="K157">
        <v>1.05</v>
      </c>
      <c r="M157" s="29">
        <f>VLOOKUP(A157,[1]!Consulta1[#All],2,FALSE)</f>
        <v>394</v>
      </c>
      <c r="O157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('394','51287','8265','8299','4','100','1.7','&lt;p&gt;ITA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()&lt;/p&gt;',1,1,3,'1.7','1.35','1.25','1.15','1.05','2025-09-30',now(),now(),2,'0.1','1');</v>
      </c>
      <c r="P157" s="30">
        <v>0.1</v>
      </c>
    </row>
    <row r="158" spans="1:16" x14ac:dyDescent="0.2">
      <c r="A158" t="s">
        <v>59</v>
      </c>
      <c r="B158" t="s">
        <v>152</v>
      </c>
      <c r="C158" s="29">
        <f>VLOOKUP(B158,[1]!Consulta1[#All],2,FALSE)</f>
        <v>1097</v>
      </c>
      <c r="E158">
        <v>100</v>
      </c>
      <c r="F158">
        <v>1.1499999999999999</v>
      </c>
      <c r="G158">
        <v>1.1499999999999999</v>
      </c>
      <c r="H158">
        <v>1.1499999999999999</v>
      </c>
      <c r="I158">
        <v>1.05</v>
      </c>
      <c r="J158" t="s">
        <v>74</v>
      </c>
      <c r="K158">
        <v>0.85</v>
      </c>
      <c r="M158" s="29">
        <f>VLOOKUP(A158,[1]!Consulta1[#All],2,FALSE)</f>
        <v>394</v>
      </c>
      <c r="O158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('394','1097','8265','8299','4','100','1.15','&lt;p&gt;ITA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()&lt;/p&gt;',1,1,3,'1.15','1.15','1.05','0.95','0.85','2025-09-30',now(),now(),2,'0.1','1');</v>
      </c>
      <c r="P158" s="30">
        <v>0.1</v>
      </c>
    </row>
    <row r="159" spans="1:16" x14ac:dyDescent="0.2">
      <c r="A159" t="s">
        <v>59</v>
      </c>
      <c r="B159" t="s">
        <v>153</v>
      </c>
      <c r="C159" s="29">
        <f>VLOOKUP(B159,[1]!Consulta1[#All],2,FALSE)</f>
        <v>39774</v>
      </c>
      <c r="E159">
        <v>100</v>
      </c>
      <c r="F159">
        <v>1.1499999999999999</v>
      </c>
      <c r="G159">
        <v>1.1499999999999999</v>
      </c>
      <c r="H159">
        <v>1.1499999999999999</v>
      </c>
      <c r="I159">
        <v>1.05</v>
      </c>
      <c r="J159" t="s">
        <v>74</v>
      </c>
      <c r="K159">
        <v>0.85</v>
      </c>
      <c r="M159" s="29">
        <f>VLOOKUP(A159,[1]!Consulta1[#All],2,FALSE)</f>
        <v>394</v>
      </c>
      <c r="O159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('394','39774','8265','8299','4','100','1.15','&lt;p&gt;ITA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()&lt;/p&gt;',1,1,3,'1.15','1.15','1.05','0.95','0.85','2025-09-30',now(),now(),2,'0.1','1');</v>
      </c>
      <c r="P159" s="30">
        <v>0.1</v>
      </c>
    </row>
    <row r="160" spans="1:16" x14ac:dyDescent="0.2">
      <c r="A160" t="s">
        <v>59</v>
      </c>
      <c r="B160" t="s">
        <v>154</v>
      </c>
      <c r="C160" s="29">
        <f>VLOOKUP(B160,[1]!Consulta1[#All],2,FALSE)</f>
        <v>50862</v>
      </c>
      <c r="E160">
        <v>100</v>
      </c>
      <c r="F160">
        <v>1.1499999999999999</v>
      </c>
      <c r="G160">
        <v>1.1499999999999999</v>
      </c>
      <c r="H160">
        <v>1.1499999999999999</v>
      </c>
      <c r="I160">
        <v>1.05</v>
      </c>
      <c r="J160" t="s">
        <v>74</v>
      </c>
      <c r="K160">
        <v>0.85</v>
      </c>
      <c r="M160" s="29">
        <f>VLOOKUP(A160,[1]!Consulta1[#All],2,FALSE)</f>
        <v>394</v>
      </c>
      <c r="O160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('394','50862','8265','8299','4','100','1.15','&lt;p&gt;ITA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()&lt;/p&gt;',1,1,3,'1.15','1.15','1.05','0.95','0.85','2025-09-30',now(),now(),2,'0.1','1');</v>
      </c>
      <c r="P160" s="30">
        <v>0.1</v>
      </c>
    </row>
    <row r="161" spans="1:16" x14ac:dyDescent="0.2">
      <c r="A161" t="s">
        <v>59</v>
      </c>
      <c r="B161" t="s">
        <v>155</v>
      </c>
      <c r="C161" s="29">
        <f>VLOOKUP(B161,[1]!Consulta1[#All],2,FALSE)</f>
        <v>39775</v>
      </c>
      <c r="E161">
        <v>100</v>
      </c>
      <c r="F161">
        <v>1.1499999999999999</v>
      </c>
      <c r="G161">
        <v>1.1499999999999999</v>
      </c>
      <c r="H161">
        <v>1.1499999999999999</v>
      </c>
      <c r="I161">
        <v>1.05</v>
      </c>
      <c r="J161" t="s">
        <v>74</v>
      </c>
      <c r="K161">
        <v>0.85</v>
      </c>
      <c r="M161" s="29">
        <f>VLOOKUP(A161,[1]!Consulta1[#All],2,FALSE)</f>
        <v>394</v>
      </c>
      <c r="O161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('394','39775','8265','8299','4','100','1.15','&lt;p&gt;ITA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()&lt;/p&gt;',1,1,3,'1.15','1.15','1.05','0.95','0.85','2025-09-30',now(),now(),2,'0.1','1');</v>
      </c>
      <c r="P161" s="30">
        <v>0.1</v>
      </c>
    </row>
    <row r="162" spans="1:16" x14ac:dyDescent="0.2">
      <c r="A162" t="s">
        <v>59</v>
      </c>
      <c r="B162" t="s">
        <v>156</v>
      </c>
      <c r="C162" s="29">
        <f>VLOOKUP(B162,[1]!Consulta1[#All],2,FALSE)</f>
        <v>50842</v>
      </c>
      <c r="E162">
        <v>100</v>
      </c>
      <c r="F162">
        <v>1.1499999999999999</v>
      </c>
      <c r="G162">
        <v>1.1499999999999999</v>
      </c>
      <c r="H162">
        <v>1.1499999999999999</v>
      </c>
      <c r="I162">
        <v>1.05</v>
      </c>
      <c r="J162" t="s">
        <v>74</v>
      </c>
      <c r="K162">
        <v>0.85</v>
      </c>
      <c r="M162" s="29">
        <f>VLOOKUP(A162,[1]!Consulta1[#All],2,FALSE)</f>
        <v>394</v>
      </c>
      <c r="O162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('394','50842','8265','8299','4','100','1.15','&lt;p&gt;ITA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()&lt;/p&gt;',1,1,3,'1.15','1.15','1.05','0.95','0.85','2025-09-30',now(),now(),2,'0.1','1');</v>
      </c>
      <c r="P162" s="30">
        <v>0.1</v>
      </c>
    </row>
    <row r="163" spans="1:16" x14ac:dyDescent="0.2">
      <c r="A163" t="s">
        <v>59</v>
      </c>
      <c r="B163" t="s">
        <v>158</v>
      </c>
      <c r="C163" s="29">
        <f>VLOOKUP(B163,[1]!Consulta1[#All],2,FALSE)</f>
        <v>50908</v>
      </c>
      <c r="E163">
        <v>100</v>
      </c>
      <c r="F163">
        <v>1.1499999999999999</v>
      </c>
      <c r="G163">
        <v>1.1499999999999999</v>
      </c>
      <c r="H163">
        <v>1.1499999999999999</v>
      </c>
      <c r="I163">
        <v>1.05</v>
      </c>
      <c r="J163" t="s">
        <v>74</v>
      </c>
      <c r="K163">
        <v>0.85</v>
      </c>
      <c r="M163" s="29">
        <f>VLOOKUP(A163,[1]!Consulta1[#All],2,FALSE)</f>
        <v>394</v>
      </c>
      <c r="O163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('394','50908','8265','8299','4','100','1.15','&lt;p&gt;ITA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()&lt;/p&gt;',1,1,3,'1.15','1.15','1.05','0.95','0.85','2025-09-30',now(),now(),2,'0.1','1');</v>
      </c>
      <c r="P163" s="30">
        <v>0.1</v>
      </c>
    </row>
    <row r="164" spans="1:16" x14ac:dyDescent="0.2">
      <c r="A164" t="s">
        <v>59</v>
      </c>
      <c r="B164" t="s">
        <v>159</v>
      </c>
      <c r="C164" s="29">
        <f>VLOOKUP(B164,[1]!Consulta1[#All],2,FALSE)</f>
        <v>50909</v>
      </c>
      <c r="E164">
        <v>100</v>
      </c>
      <c r="F164">
        <v>1.1499999999999999</v>
      </c>
      <c r="G164">
        <v>1.1499999999999999</v>
      </c>
      <c r="H164">
        <v>1.1499999999999999</v>
      </c>
      <c r="I164">
        <v>1.05</v>
      </c>
      <c r="J164" t="s">
        <v>74</v>
      </c>
      <c r="K164">
        <v>0.85</v>
      </c>
      <c r="M164" s="29">
        <f>VLOOKUP(A164,[1]!Consulta1[#All],2,FALSE)</f>
        <v>394</v>
      </c>
      <c r="O164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('394','50909','8265','8299','4','100','1.15','&lt;p&gt;ITA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()&lt;/p&gt;',1,1,3,'1.15','1.15','1.05','0.95','0.85','2025-09-30',now(),now(),2,'0.1','1');</v>
      </c>
      <c r="P164" s="30">
        <v>0.1</v>
      </c>
    </row>
    <row r="165" spans="1:16" x14ac:dyDescent="0.2">
      <c r="A165" t="s">
        <v>59</v>
      </c>
      <c r="B165" t="s">
        <v>160</v>
      </c>
      <c r="C165" s="29">
        <f>VLOOKUP(B165,[1]!Consulta1[#All],2,FALSE)</f>
        <v>39778</v>
      </c>
      <c r="E165">
        <v>100</v>
      </c>
      <c r="F165">
        <v>1.1499999999999999</v>
      </c>
      <c r="G165">
        <v>1.1499999999999999</v>
      </c>
      <c r="H165">
        <v>1.1499999999999999</v>
      </c>
      <c r="I165">
        <v>1.05</v>
      </c>
      <c r="J165" t="s">
        <v>74</v>
      </c>
      <c r="K165">
        <v>0.85</v>
      </c>
      <c r="M165" s="29">
        <f>VLOOKUP(A165,[1]!Consulta1[#All],2,FALSE)</f>
        <v>394</v>
      </c>
      <c r="O165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('394','39778','8265','8299','4','100','1.15','&lt;p&gt;ITA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()&lt;/p&gt;',1,1,3,'1.15','1.15','1.05','0.95','0.85','2025-09-30',now(),now(),2,'0.1','1');</v>
      </c>
      <c r="P165" s="30">
        <v>0.1</v>
      </c>
    </row>
    <row r="166" spans="1:16" x14ac:dyDescent="0.2">
      <c r="A166" t="s">
        <v>59</v>
      </c>
      <c r="B166" t="s">
        <v>161</v>
      </c>
      <c r="C166" s="29">
        <f>VLOOKUP(B166,[1]!Consulta1[#All],2,FALSE)</f>
        <v>50914</v>
      </c>
      <c r="E166">
        <v>100</v>
      </c>
      <c r="F166">
        <v>1.1499999999999999</v>
      </c>
      <c r="G166">
        <v>1.1499999999999999</v>
      </c>
      <c r="H166">
        <v>1.1499999999999999</v>
      </c>
      <c r="I166">
        <v>1.05</v>
      </c>
      <c r="J166" t="s">
        <v>74</v>
      </c>
      <c r="K166">
        <v>0.85</v>
      </c>
      <c r="M166" s="29">
        <f>VLOOKUP(A166,[1]!Consulta1[#All],2,FALSE)</f>
        <v>394</v>
      </c>
      <c r="O166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('394','50914','8265','8299','4','100','1.15','&lt;p&gt;ITA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()&lt;/p&gt;',1,1,3,'1.15','1.15','1.05','0.95','0.85','2025-09-30',now(),now(),2,'0.1','1');</v>
      </c>
      <c r="P166" s="30">
        <v>0.1</v>
      </c>
    </row>
    <row r="167" spans="1:16" x14ac:dyDescent="0.2">
      <c r="A167" t="s">
        <v>59</v>
      </c>
      <c r="B167" t="s">
        <v>162</v>
      </c>
      <c r="C167" s="29">
        <f>VLOOKUP(B167,[1]!Consulta1[#All],2,FALSE)</f>
        <v>51114</v>
      </c>
      <c r="E167">
        <v>100</v>
      </c>
      <c r="F167">
        <v>1.1499999999999999</v>
      </c>
      <c r="G167">
        <v>1.1499999999999999</v>
      </c>
      <c r="H167">
        <v>1.1499999999999999</v>
      </c>
      <c r="I167">
        <v>1.05</v>
      </c>
      <c r="J167" t="s">
        <v>74</v>
      </c>
      <c r="K167">
        <v>0.85</v>
      </c>
      <c r="M167" s="29">
        <f>VLOOKUP(A167,[1]!Consulta1[#All],2,FALSE)</f>
        <v>394</v>
      </c>
      <c r="O167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('394','51114','8265','8299','4','100','1.15','&lt;p&gt;ITA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()&lt;/p&gt;',1,1,3,'1.15','1.15','1.05','0.95','0.85','2025-09-30',now(),now(),2,'0.1','1');</v>
      </c>
      <c r="P167" s="30">
        <v>0.1</v>
      </c>
    </row>
    <row r="168" spans="1:16" x14ac:dyDescent="0.2">
      <c r="A168" t="s">
        <v>59</v>
      </c>
      <c r="B168" t="s">
        <v>163</v>
      </c>
      <c r="C168" s="29">
        <f>VLOOKUP(B168,[1]!Consulta1[#All],2,FALSE)</f>
        <v>51120</v>
      </c>
      <c r="E168">
        <v>100</v>
      </c>
      <c r="F168">
        <v>1.1499999999999999</v>
      </c>
      <c r="G168">
        <v>1.1499999999999999</v>
      </c>
      <c r="H168">
        <v>1.1499999999999999</v>
      </c>
      <c r="I168">
        <v>1.05</v>
      </c>
      <c r="J168" t="s">
        <v>74</v>
      </c>
      <c r="K168">
        <v>0.85</v>
      </c>
      <c r="M168" s="29">
        <f>VLOOKUP(A168,[1]!Consulta1[#All],2,FALSE)</f>
        <v>394</v>
      </c>
      <c r="O168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('394','51120','8265','8299','4','100','1.15','&lt;p&gt;ITA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()&lt;/p&gt;',1,1,3,'1.15','1.15','1.05','0.95','0.85','2025-09-30',now(),now(),2,'0.1','1');</v>
      </c>
      <c r="P168" s="30">
        <v>0.1</v>
      </c>
    </row>
    <row r="169" spans="1:16" x14ac:dyDescent="0.2">
      <c r="A169" t="s">
        <v>59</v>
      </c>
      <c r="B169" t="s">
        <v>157</v>
      </c>
      <c r="C169" s="29">
        <f>VLOOKUP(B169,[1]!Consulta1[#All],2,FALSE)</f>
        <v>50995</v>
      </c>
      <c r="E169">
        <v>100</v>
      </c>
      <c r="F169">
        <v>1.1499999999999999</v>
      </c>
      <c r="G169">
        <v>1.1499999999999999</v>
      </c>
      <c r="H169">
        <v>1.1499999999999999</v>
      </c>
      <c r="I169">
        <v>1.05</v>
      </c>
      <c r="J169" t="s">
        <v>74</v>
      </c>
      <c r="K169">
        <v>0.85</v>
      </c>
      <c r="M169" s="29">
        <f>VLOOKUP(A169,[1]!Consulta1[#All],2,FALSE)</f>
        <v>394</v>
      </c>
      <c r="O169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('394','50995','8265','8299','4','100','1.15','&lt;p&gt;ITA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()&lt;/p&gt;',1,1,3,'1.15','1.15','1.05','0.95','0.85','2025-09-30',now(),now(),2,'0.1','1');</v>
      </c>
      <c r="P169" s="30">
        <v>0.1</v>
      </c>
    </row>
    <row r="170" spans="1:16" x14ac:dyDescent="0.2">
      <c r="A170" t="s">
        <v>59</v>
      </c>
      <c r="B170" t="s">
        <v>164</v>
      </c>
      <c r="C170" s="29">
        <f>VLOOKUP(B170,[1]!Consulta1[#All],2,FALSE)</f>
        <v>51096</v>
      </c>
      <c r="E170">
        <v>100</v>
      </c>
      <c r="F170">
        <v>4.5</v>
      </c>
      <c r="G170">
        <v>3.8</v>
      </c>
      <c r="H170">
        <v>2.35</v>
      </c>
      <c r="I170">
        <v>2.25</v>
      </c>
      <c r="J170" t="s">
        <v>98</v>
      </c>
      <c r="K170">
        <v>2.0499999999999998</v>
      </c>
      <c r="M170" s="29">
        <f>VLOOKUP(A170,[1]!Consulta1[#All],2,FALSE)</f>
        <v>394</v>
      </c>
      <c r="O170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('394','51096','8265','8299','4','100','4.5','&lt;p&gt;ITA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()&lt;/p&gt;',1,1,3,'3.8','2.35','2.25','2.15','2.05','2025-09-30',now(),now(),2,'0.1','1');</v>
      </c>
      <c r="P170" s="30">
        <v>0.1</v>
      </c>
    </row>
    <row r="171" spans="1:16" x14ac:dyDescent="0.2">
      <c r="A171" t="s">
        <v>59</v>
      </c>
      <c r="B171" t="s">
        <v>165</v>
      </c>
      <c r="C171" s="29">
        <f>VLOOKUP(B171,[1]!Consulta1[#All],2,FALSE)</f>
        <v>50922</v>
      </c>
      <c r="E171">
        <v>100</v>
      </c>
      <c r="F171">
        <v>4.5</v>
      </c>
      <c r="G171">
        <v>3.8</v>
      </c>
      <c r="H171">
        <v>2.35</v>
      </c>
      <c r="I171">
        <v>2.25</v>
      </c>
      <c r="J171" t="s">
        <v>98</v>
      </c>
      <c r="K171">
        <v>2.0499999999999998</v>
      </c>
      <c r="M171" s="29">
        <f>VLOOKUP(A171,[1]!Consulta1[#All],2,FALSE)</f>
        <v>394</v>
      </c>
      <c r="O171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('394','50922','8265','8299','4','100','4.5','&lt;p&gt;ITA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()&lt;/p&gt;',1,1,3,'3.8','2.35','2.25','2.15','2.05','2025-09-30',now(),now(),2,'0.1','1');</v>
      </c>
      <c r="P171" s="30">
        <v>0.1</v>
      </c>
    </row>
    <row r="172" spans="1:16" x14ac:dyDescent="0.2">
      <c r="A172" t="s">
        <v>59</v>
      </c>
      <c r="B172" t="s">
        <v>54</v>
      </c>
      <c r="C172" s="29">
        <f>VLOOKUP(B172,[1]!Consulta1[#All],2,FALSE)</f>
        <v>51004</v>
      </c>
      <c r="E172">
        <v>100</v>
      </c>
      <c r="F172">
        <v>4.5</v>
      </c>
      <c r="G172">
        <v>3.8</v>
      </c>
      <c r="H172">
        <v>2.35</v>
      </c>
      <c r="I172">
        <v>2.25</v>
      </c>
      <c r="J172" t="s">
        <v>98</v>
      </c>
      <c r="K172">
        <v>2.0499999999999998</v>
      </c>
      <c r="M172" s="29">
        <f>VLOOKUP(A172,[1]!Consulta1[#All],2,FALSE)</f>
        <v>394</v>
      </c>
      <c r="O172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('394','51004','8265','8299','4','100','4.5','&lt;p&gt;ITA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()&lt;/p&gt;',1,1,3,'3.8','2.35','2.25','2.15','2.05','2025-09-30',now(),now(),2,'0.1','1');</v>
      </c>
      <c r="P172" s="30">
        <v>0.1</v>
      </c>
    </row>
    <row r="173" spans="1:16" x14ac:dyDescent="0.2">
      <c r="A173" t="s">
        <v>59</v>
      </c>
      <c r="B173" t="s">
        <v>166</v>
      </c>
      <c r="C173" s="29">
        <f>VLOOKUP(B173,[1]!Consulta1[#All],2,FALSE)</f>
        <v>529</v>
      </c>
      <c r="E173">
        <v>100</v>
      </c>
      <c r="F173">
        <v>4.5</v>
      </c>
      <c r="G173">
        <v>3.8</v>
      </c>
      <c r="H173">
        <v>2.25</v>
      </c>
      <c r="I173">
        <v>2.15</v>
      </c>
      <c r="J173" t="s">
        <v>99</v>
      </c>
      <c r="K173">
        <v>1.85</v>
      </c>
      <c r="M173" s="29">
        <f>VLOOKUP(A173,[1]!Consulta1[#All],2,FALSE)</f>
        <v>394</v>
      </c>
      <c r="O173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('394','529','8265','8299','4','100','4.5','&lt;p&gt;ITA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()&lt;/p&gt;',1,1,3,'3.8','2.25','2.15','2.05','1.85','2025-09-30',now(),now(),2,'0.1','1');</v>
      </c>
      <c r="P173" s="30">
        <v>0.1</v>
      </c>
    </row>
    <row r="174" spans="1:16" x14ac:dyDescent="0.2">
      <c r="A174" t="s">
        <v>59</v>
      </c>
      <c r="B174" t="s">
        <v>167</v>
      </c>
      <c r="C174" s="29">
        <f>VLOOKUP(B174,[1]!Consulta1[#All],2,FALSE)</f>
        <v>50954</v>
      </c>
      <c r="E174">
        <v>100</v>
      </c>
      <c r="F174">
        <v>4.5</v>
      </c>
      <c r="G174">
        <v>3.8</v>
      </c>
      <c r="H174">
        <v>2.25</v>
      </c>
      <c r="I174">
        <v>2.15</v>
      </c>
      <c r="J174" t="s">
        <v>99</v>
      </c>
      <c r="K174">
        <v>1.85</v>
      </c>
      <c r="M174" s="29">
        <f>VLOOKUP(A174,[1]!Consulta1[#All],2,FALSE)</f>
        <v>394</v>
      </c>
      <c r="O174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('394','50954','8265','8299','4','100','4.5','&lt;p&gt;ITA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()&lt;/p&gt;',1,1,3,'3.8','2.25','2.15','2.05','1.85','2025-09-30',now(),now(),2,'0.1','1');</v>
      </c>
      <c r="P174" s="30">
        <v>0.1</v>
      </c>
    </row>
    <row r="175" spans="1:16" x14ac:dyDescent="0.2">
      <c r="A175" t="s">
        <v>59</v>
      </c>
      <c r="B175" t="s">
        <v>52</v>
      </c>
      <c r="C175" s="29">
        <f>VLOOKUP(B175,[1]!Consulta1[#All],2,FALSE)</f>
        <v>39771</v>
      </c>
      <c r="E175">
        <v>100</v>
      </c>
      <c r="F175">
        <v>4.5</v>
      </c>
      <c r="G175">
        <v>3.8</v>
      </c>
      <c r="H175">
        <v>1.55</v>
      </c>
      <c r="I175">
        <v>1.45</v>
      </c>
      <c r="J175" t="s">
        <v>107</v>
      </c>
      <c r="K175">
        <v>1.25</v>
      </c>
      <c r="M175" s="29">
        <f>VLOOKUP(A175,[1]!Consulta1[#All],2,FALSE)</f>
        <v>394</v>
      </c>
      <c r="O175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('394','39771','8265','8299','4','100','4.5','&lt;p&gt;ITA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()&lt;/p&gt;',1,1,3,'3.8','1.55','1.45','1.35','1.25','2025-09-30',now(),now(),2,'0.1','1');</v>
      </c>
      <c r="P175" s="30">
        <v>0.1</v>
      </c>
    </row>
    <row r="176" spans="1:16" x14ac:dyDescent="0.2">
      <c r="A176" t="s">
        <v>59</v>
      </c>
      <c r="B176" t="s">
        <v>51</v>
      </c>
      <c r="C176" s="29">
        <f>VLOOKUP(B176,[1]!Consulta1[#All],2,FALSE)</f>
        <v>50830</v>
      </c>
      <c r="E176">
        <v>100</v>
      </c>
      <c r="F176">
        <v>4.5</v>
      </c>
      <c r="G176">
        <v>3.8</v>
      </c>
      <c r="H176">
        <v>1.6</v>
      </c>
      <c r="I176">
        <v>1.5</v>
      </c>
      <c r="J176" t="s">
        <v>80</v>
      </c>
      <c r="K176">
        <v>1.3</v>
      </c>
      <c r="M176" s="29">
        <f>VLOOKUP(A176,[1]!Consulta1[#All],2,FALSE)</f>
        <v>394</v>
      </c>
      <c r="O176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('394','50830','8265','8299','4','100','4.5','&lt;p&gt;ITA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()&lt;/p&gt;',1,1,3,'3.8','1.6','1.5','1.4','1.3','2025-09-30',now(),now(),2,'0.1','1');</v>
      </c>
      <c r="P176" s="30">
        <v>0.1</v>
      </c>
    </row>
    <row r="177" spans="1:16" x14ac:dyDescent="0.2">
      <c r="A177" t="s">
        <v>60</v>
      </c>
      <c r="B177" t="s">
        <v>47</v>
      </c>
      <c r="C177" s="29">
        <f>VLOOKUP(B177,[1]!Consulta1[#All],2,FALSE)</f>
        <v>50961</v>
      </c>
      <c r="E177">
        <v>100</v>
      </c>
      <c r="F177">
        <v>0.9</v>
      </c>
      <c r="G177">
        <v>0.9</v>
      </c>
      <c r="H177">
        <v>0.9</v>
      </c>
      <c r="I177">
        <v>0.85</v>
      </c>
      <c r="J177" t="s">
        <v>69</v>
      </c>
      <c r="K177">
        <v>0.7</v>
      </c>
      <c r="M177" s="29">
        <f>VLOOKUP(A177,[1]!Consulta1[#All],2,FALSE)</f>
        <v>468</v>
      </c>
      <c r="O177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('468','50961','8265','8299','4','100','0.9','&lt;p&gt;ITA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()&lt;/p&gt;',1,1,3,'0.9','0.9','0.85','0.8','0.7','2025-09-30',now(),now(),2,'0.1','1');</v>
      </c>
      <c r="P177" s="30">
        <v>0.1</v>
      </c>
    </row>
    <row r="178" spans="1:16" x14ac:dyDescent="0.2">
      <c r="A178" t="s">
        <v>60</v>
      </c>
      <c r="B178" t="s">
        <v>48</v>
      </c>
      <c r="C178" s="29">
        <f>VLOOKUP(B178,[1]!Consulta1[#All],2,FALSE)</f>
        <v>49720</v>
      </c>
      <c r="E178">
        <v>100</v>
      </c>
      <c r="F178">
        <v>0.95</v>
      </c>
      <c r="G178">
        <v>0.95</v>
      </c>
      <c r="H178">
        <v>0.95</v>
      </c>
      <c r="I178">
        <v>0.9</v>
      </c>
      <c r="J178" t="s">
        <v>68</v>
      </c>
      <c r="K178">
        <v>0.75</v>
      </c>
      <c r="M178" s="29">
        <f>VLOOKUP(A178,[1]!Consulta1[#All],2,FALSE)</f>
        <v>468</v>
      </c>
      <c r="O178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('468','49720','8265','8299','4','100','0.95','&lt;p&gt;ITA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()&lt;/p&gt;',1,1,3,'0.95','0.95','0.9','0.85','0.75','2025-09-30',now(),now(),2,'0.1','1');</v>
      </c>
      <c r="P178" s="30">
        <v>0.1</v>
      </c>
    </row>
    <row r="179" spans="1:16" x14ac:dyDescent="0.2">
      <c r="A179" t="s">
        <v>60</v>
      </c>
      <c r="B179" t="s">
        <v>139</v>
      </c>
      <c r="C179" s="29">
        <f>VLOOKUP(B179,[1]!Consulta1[#All],2,FALSE)</f>
        <v>39776</v>
      </c>
      <c r="E179">
        <v>100</v>
      </c>
      <c r="F179">
        <v>4.5</v>
      </c>
      <c r="G179">
        <v>3.8</v>
      </c>
      <c r="H179">
        <v>1.45</v>
      </c>
      <c r="I179">
        <v>1.35</v>
      </c>
      <c r="J179" t="s">
        <v>110</v>
      </c>
      <c r="K179">
        <v>1.1499999999999999</v>
      </c>
      <c r="M179" s="29">
        <f>VLOOKUP(A179,[1]!Consulta1[#All],2,FALSE)</f>
        <v>468</v>
      </c>
      <c r="O179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('468','39776','8265','8299','4','100','4.5','&lt;p&gt;ITA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()&lt;/p&gt;',1,1,3,'3.8','1.45','1.35','1.25','1.15','2025-09-30',now(),now(),2,'0.1','1');</v>
      </c>
      <c r="P179" s="30">
        <v>0.1</v>
      </c>
    </row>
    <row r="180" spans="1:16" x14ac:dyDescent="0.2">
      <c r="A180" t="s">
        <v>60</v>
      </c>
      <c r="B180" t="s">
        <v>140</v>
      </c>
      <c r="C180" s="29">
        <f>VLOOKUP(B180,[1]!Consulta1[#All],2,FALSE)</f>
        <v>50708</v>
      </c>
      <c r="E180">
        <v>100</v>
      </c>
      <c r="F180">
        <v>4.5</v>
      </c>
      <c r="G180">
        <v>3.8</v>
      </c>
      <c r="H180">
        <v>1.45</v>
      </c>
      <c r="I180">
        <v>1.35</v>
      </c>
      <c r="J180" t="s">
        <v>110</v>
      </c>
      <c r="K180">
        <v>1.1499999999999999</v>
      </c>
      <c r="M180" s="29">
        <f>VLOOKUP(A180,[1]!Consulta1[#All],2,FALSE)</f>
        <v>468</v>
      </c>
      <c r="O180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('468','50708','8265','8299','4','100','4.5','&lt;p&gt;ITA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()&lt;/p&gt;',1,1,3,'3.8','1.45','1.35','1.25','1.15','2025-09-30',now(),now(),2,'0.1','1');</v>
      </c>
      <c r="P180" s="30">
        <v>0.1</v>
      </c>
    </row>
    <row r="181" spans="1:16" x14ac:dyDescent="0.2">
      <c r="A181" t="s">
        <v>60</v>
      </c>
      <c r="B181" t="s">
        <v>141</v>
      </c>
      <c r="C181" s="29">
        <f>VLOOKUP(B181,[1]!Consulta1[#All],2,FALSE)</f>
        <v>50977</v>
      </c>
      <c r="E181">
        <v>100</v>
      </c>
      <c r="F181">
        <v>1.2</v>
      </c>
      <c r="G181">
        <v>1.2</v>
      </c>
      <c r="H181">
        <v>1.1000000000000001</v>
      </c>
      <c r="I181">
        <v>1.05</v>
      </c>
      <c r="J181" t="s">
        <v>74</v>
      </c>
      <c r="K181">
        <v>0.85</v>
      </c>
      <c r="M181" s="29">
        <f>VLOOKUP(A181,[1]!Consulta1[#All],2,FALSE)</f>
        <v>468</v>
      </c>
      <c r="O181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('468','50977','8265','8299','4','100','1.2','&lt;p&gt;ITA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()&lt;/p&gt;',1,1,3,'1.2','1.1','1.05','0.95','0.85','2025-09-30',now(),now(),2,'0.1','1');</v>
      </c>
      <c r="P181" s="30">
        <v>0.1</v>
      </c>
    </row>
    <row r="182" spans="1:16" x14ac:dyDescent="0.2">
      <c r="A182" t="s">
        <v>60</v>
      </c>
      <c r="B182" t="s">
        <v>142</v>
      </c>
      <c r="C182" s="29">
        <f>VLOOKUP(B182,[1]!Consulta1[#All],2,FALSE)</f>
        <v>51126</v>
      </c>
      <c r="E182">
        <v>100</v>
      </c>
      <c r="F182">
        <v>1.2</v>
      </c>
      <c r="G182">
        <v>1.2</v>
      </c>
      <c r="H182">
        <v>1.1000000000000001</v>
      </c>
      <c r="I182">
        <v>1.05</v>
      </c>
      <c r="J182" t="s">
        <v>74</v>
      </c>
      <c r="K182">
        <v>0.85</v>
      </c>
      <c r="M182" s="29">
        <f>VLOOKUP(A182,[1]!Consulta1[#All],2,FALSE)</f>
        <v>468</v>
      </c>
      <c r="O182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('468','51126','8265','8299','4','100','1.2','&lt;p&gt;ITA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()&lt;/p&gt;',1,1,3,'1.2','1.1','1.05','0.95','0.85','2025-09-30',now(),now(),2,'0.1','1');</v>
      </c>
      <c r="P182" s="30">
        <v>0.1</v>
      </c>
    </row>
    <row r="183" spans="1:16" x14ac:dyDescent="0.2">
      <c r="A183" t="s">
        <v>60</v>
      </c>
      <c r="B183" t="s">
        <v>143</v>
      </c>
      <c r="C183" s="29">
        <f>VLOOKUP(B183,[1]!Consulta1[#All],2,FALSE)</f>
        <v>50969</v>
      </c>
      <c r="E183">
        <v>100</v>
      </c>
      <c r="F183">
        <v>1.2</v>
      </c>
      <c r="G183">
        <v>1.2</v>
      </c>
      <c r="H183">
        <v>1.1000000000000001</v>
      </c>
      <c r="I183">
        <v>1.05</v>
      </c>
      <c r="J183" t="s">
        <v>74</v>
      </c>
      <c r="K183">
        <v>0.85</v>
      </c>
      <c r="M183" s="29">
        <f>VLOOKUP(A183,[1]!Consulta1[#All],2,FALSE)</f>
        <v>468</v>
      </c>
      <c r="O183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('468','50969','8265','8299','4','100','1.2','&lt;p&gt;ITA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()&lt;/p&gt;',1,1,3,'1.2','1.1','1.05','0.95','0.85','2025-09-30',now(),now(),2,'0.1','1');</v>
      </c>
      <c r="P183" s="30">
        <v>0.1</v>
      </c>
    </row>
    <row r="184" spans="1:16" x14ac:dyDescent="0.2">
      <c r="A184" t="s">
        <v>60</v>
      </c>
      <c r="B184" t="s">
        <v>144</v>
      </c>
      <c r="C184" s="29">
        <f>VLOOKUP(B184,[1]!Consulta1[#All],2,FALSE)</f>
        <v>50970</v>
      </c>
      <c r="E184">
        <v>100</v>
      </c>
      <c r="F184">
        <v>1.2</v>
      </c>
      <c r="G184">
        <v>1.2</v>
      </c>
      <c r="H184">
        <v>1.1000000000000001</v>
      </c>
      <c r="I184">
        <v>1.05</v>
      </c>
      <c r="J184" t="s">
        <v>74</v>
      </c>
      <c r="K184">
        <v>0.85</v>
      </c>
      <c r="M184" s="29">
        <f>VLOOKUP(A184,[1]!Consulta1[#All],2,FALSE)</f>
        <v>468</v>
      </c>
      <c r="O184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('468','50970','8265','8299','4','100','1.2','&lt;p&gt;ITA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()&lt;/p&gt;',1,1,3,'1.2','1.1','1.05','0.95','0.85','2025-09-30',now(),now(),2,'0.1','1');</v>
      </c>
      <c r="P184" s="30">
        <v>0.1</v>
      </c>
    </row>
    <row r="185" spans="1:16" x14ac:dyDescent="0.2">
      <c r="A185" t="s">
        <v>60</v>
      </c>
      <c r="B185" t="s">
        <v>145</v>
      </c>
      <c r="C185" s="29">
        <f>VLOOKUP(B185,[1]!Consulta1[#All],2,FALSE)</f>
        <v>50972</v>
      </c>
      <c r="E185">
        <v>100</v>
      </c>
      <c r="F185">
        <v>1.2</v>
      </c>
      <c r="G185">
        <v>1.2</v>
      </c>
      <c r="H185">
        <v>1.1000000000000001</v>
      </c>
      <c r="I185">
        <v>1.05</v>
      </c>
      <c r="J185" t="s">
        <v>74</v>
      </c>
      <c r="K185">
        <v>0.85</v>
      </c>
      <c r="M185" s="29">
        <f>VLOOKUP(A185,[1]!Consulta1[#All],2,FALSE)</f>
        <v>468</v>
      </c>
      <c r="O185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('468','50972','8265','8299','4','100','1.2','&lt;p&gt;ITA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()&lt;/p&gt;',1,1,3,'1.2','1.1','1.05','0.95','0.85','2025-09-30',now(),now(),2,'0.1','1');</v>
      </c>
      <c r="P185" s="30">
        <v>0.1</v>
      </c>
    </row>
    <row r="186" spans="1:16" x14ac:dyDescent="0.2">
      <c r="A186" t="s">
        <v>60</v>
      </c>
      <c r="B186" t="s">
        <v>146</v>
      </c>
      <c r="C186" s="29">
        <f>VLOOKUP(B186,[1]!Consulta1[#All],2,FALSE)</f>
        <v>51381</v>
      </c>
      <c r="E186">
        <v>100</v>
      </c>
      <c r="F186">
        <v>1.2</v>
      </c>
      <c r="G186">
        <v>1.2</v>
      </c>
      <c r="H186">
        <v>1.1000000000000001</v>
      </c>
      <c r="I186">
        <v>1.05</v>
      </c>
      <c r="J186" t="s">
        <v>74</v>
      </c>
      <c r="K186">
        <v>0.85</v>
      </c>
      <c r="M186" s="29">
        <f>VLOOKUP(A186,[1]!Consulta1[#All],2,FALSE)</f>
        <v>468</v>
      </c>
      <c r="O186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('468','51381','8265','8299','4','100','1.2','&lt;p&gt;ITA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()&lt;/p&gt;',1,1,3,'1.2','1.1','1.05','0.95','0.85','2025-09-30',now(),now(),2,'0.1','1');</v>
      </c>
      <c r="P186" s="30">
        <v>0.1</v>
      </c>
    </row>
    <row r="187" spans="1:16" x14ac:dyDescent="0.2">
      <c r="A187" t="s">
        <v>60</v>
      </c>
      <c r="B187" t="s">
        <v>147</v>
      </c>
      <c r="C187" s="29">
        <f>VLOOKUP(B187,[1]!Consulta1[#All],2,FALSE)</f>
        <v>51285</v>
      </c>
      <c r="E187">
        <v>100</v>
      </c>
      <c r="F187">
        <v>1.2</v>
      </c>
      <c r="G187">
        <v>1.2</v>
      </c>
      <c r="H187">
        <v>1.1000000000000001</v>
      </c>
      <c r="I187">
        <v>1.05</v>
      </c>
      <c r="J187" t="s">
        <v>74</v>
      </c>
      <c r="K187">
        <v>0.85</v>
      </c>
      <c r="M187" s="29">
        <f>VLOOKUP(A187,[1]!Consulta1[#All],2,FALSE)</f>
        <v>468</v>
      </c>
      <c r="O187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('468','51285','8265','8299','4','100','1.2','&lt;p&gt;ITA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()&lt;/p&gt;',1,1,3,'1.2','1.1','1.05','0.95','0.85','2025-09-30',now(),now(),2,'0.1','1');</v>
      </c>
      <c r="P187" s="30">
        <v>0.1</v>
      </c>
    </row>
    <row r="188" spans="1:16" x14ac:dyDescent="0.2">
      <c r="A188" t="s">
        <v>60</v>
      </c>
      <c r="B188" t="s">
        <v>148</v>
      </c>
      <c r="C188" s="29">
        <f>VLOOKUP(B188,[1]!Consulta1[#All],2,FALSE)</f>
        <v>51147</v>
      </c>
      <c r="E188">
        <v>100</v>
      </c>
      <c r="F188">
        <v>1.2</v>
      </c>
      <c r="G188">
        <v>1.2</v>
      </c>
      <c r="H188">
        <v>1.1000000000000001</v>
      </c>
      <c r="I188">
        <v>1.05</v>
      </c>
      <c r="J188" t="s">
        <v>74</v>
      </c>
      <c r="K188">
        <v>0.85</v>
      </c>
      <c r="M188" s="29">
        <f>VLOOKUP(A188,[1]!Consulta1[#All],2,FALSE)</f>
        <v>468</v>
      </c>
      <c r="O188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('468','51147','8265','8299','4','100','1.2','&lt;p&gt;ITA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()&lt;/p&gt;',1,1,3,'1.2','1.1','1.05','0.95','0.85','2025-09-30',now(),now(),2,'0.1','1');</v>
      </c>
      <c r="P188" s="30">
        <v>0.1</v>
      </c>
    </row>
    <row r="189" spans="1:16" x14ac:dyDescent="0.2">
      <c r="A189" t="s">
        <v>60</v>
      </c>
      <c r="B189" t="s">
        <v>149</v>
      </c>
      <c r="C189" s="29">
        <f>VLOOKUP(B189,[1]!Consulta1[#All],2,FALSE)</f>
        <v>53322</v>
      </c>
      <c r="E189">
        <v>100</v>
      </c>
      <c r="F189">
        <v>1.2</v>
      </c>
      <c r="G189">
        <v>1.2</v>
      </c>
      <c r="H189">
        <v>1.1000000000000001</v>
      </c>
      <c r="I189">
        <v>1.05</v>
      </c>
      <c r="J189" t="s">
        <v>74</v>
      </c>
      <c r="K189">
        <v>0.85</v>
      </c>
      <c r="M189" s="29">
        <f>VLOOKUP(A189,[1]!Consulta1[#All],2,FALSE)</f>
        <v>468</v>
      </c>
      <c r="O189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('468','53322','8265','8299','4','100','1.2','&lt;p&gt;ITA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()&lt;/p&gt;',1,1,3,'1.2','1.1','1.05','0.95','0.85','2025-09-30',now(),now(),2,'0.1','1');</v>
      </c>
      <c r="P189" s="30">
        <v>0.1</v>
      </c>
    </row>
    <row r="190" spans="1:16" x14ac:dyDescent="0.2">
      <c r="A190" t="s">
        <v>60</v>
      </c>
      <c r="B190" t="s">
        <v>150</v>
      </c>
      <c r="C190" s="29">
        <f>VLOOKUP(B190,[1]!Consulta1[#All],2,FALSE)</f>
        <v>51286</v>
      </c>
      <c r="E190">
        <v>100</v>
      </c>
      <c r="F190">
        <v>1.2</v>
      </c>
      <c r="G190">
        <v>1.2</v>
      </c>
      <c r="H190">
        <v>1.1000000000000001</v>
      </c>
      <c r="I190">
        <v>1.05</v>
      </c>
      <c r="J190" t="s">
        <v>74</v>
      </c>
      <c r="K190">
        <v>0.85</v>
      </c>
      <c r="M190" s="29">
        <f>VLOOKUP(A190,[1]!Consulta1[#All],2,FALSE)</f>
        <v>468</v>
      </c>
      <c r="O190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('468','51286','8265','8299','4','100','1.2','&lt;p&gt;ITA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()&lt;/p&gt;',1,1,3,'1.2','1.1','1.05','0.95','0.85','2025-09-30',now(),now(),2,'0.1','1');</v>
      </c>
      <c r="P190" s="30">
        <v>0.1</v>
      </c>
    </row>
    <row r="191" spans="1:16" x14ac:dyDescent="0.2">
      <c r="A191" t="s">
        <v>60</v>
      </c>
      <c r="B191" t="s">
        <v>151</v>
      </c>
      <c r="C191" s="29">
        <f>VLOOKUP(B191,[1]!Consulta1[#All],2,FALSE)</f>
        <v>51287</v>
      </c>
      <c r="E191">
        <v>100</v>
      </c>
      <c r="F191">
        <v>1.2</v>
      </c>
      <c r="G191">
        <v>1.2</v>
      </c>
      <c r="H191">
        <v>1.1000000000000001</v>
      </c>
      <c r="I191">
        <v>1.05</v>
      </c>
      <c r="J191" t="s">
        <v>74</v>
      </c>
      <c r="K191">
        <v>0.85</v>
      </c>
      <c r="M191" s="29">
        <f>VLOOKUP(A191,[1]!Consulta1[#All],2,FALSE)</f>
        <v>468</v>
      </c>
      <c r="O191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('468','51287','8265','8299','4','100','1.2','&lt;p&gt;ITA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()&lt;/p&gt;',1,1,3,'1.2','1.1','1.05','0.95','0.85','2025-09-30',now(),now(),2,'0.1','1');</v>
      </c>
      <c r="P191" s="30">
        <v>0.1</v>
      </c>
    </row>
    <row r="192" spans="1:16" x14ac:dyDescent="0.2">
      <c r="A192" t="s">
        <v>60</v>
      </c>
      <c r="B192" t="s">
        <v>152</v>
      </c>
      <c r="C192" s="29">
        <f>VLOOKUP(B192,[1]!Consulta1[#All],2,FALSE)</f>
        <v>1097</v>
      </c>
      <c r="E192">
        <v>100</v>
      </c>
      <c r="F192">
        <v>1.2</v>
      </c>
      <c r="G192">
        <v>1.2</v>
      </c>
      <c r="H192">
        <v>1.05</v>
      </c>
      <c r="I192">
        <v>0.95</v>
      </c>
      <c r="J192" t="s">
        <v>68</v>
      </c>
      <c r="K192">
        <v>0.7</v>
      </c>
      <c r="M192" s="29">
        <f>VLOOKUP(A192,[1]!Consulta1[#All],2,FALSE)</f>
        <v>468</v>
      </c>
      <c r="O192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('468','1097','8265','8299','4','100','1.2','&lt;p&gt;ITA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192" s="30">
        <v>0.1</v>
      </c>
    </row>
    <row r="193" spans="1:16" x14ac:dyDescent="0.2">
      <c r="A193" t="s">
        <v>60</v>
      </c>
      <c r="B193" t="s">
        <v>153</v>
      </c>
      <c r="C193" s="29">
        <f>VLOOKUP(B193,[1]!Consulta1[#All],2,FALSE)</f>
        <v>39774</v>
      </c>
      <c r="E193">
        <v>100</v>
      </c>
      <c r="F193">
        <v>1.2</v>
      </c>
      <c r="G193">
        <v>1.2</v>
      </c>
      <c r="H193">
        <v>1.05</v>
      </c>
      <c r="I193">
        <v>0.95</v>
      </c>
      <c r="J193" t="s">
        <v>68</v>
      </c>
      <c r="K193">
        <v>0.7</v>
      </c>
      <c r="M193" s="29">
        <f>VLOOKUP(A193,[1]!Consulta1[#All],2,FALSE)</f>
        <v>468</v>
      </c>
      <c r="O193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('468','39774','8265','8299','4','100','1.2','&lt;p&gt;ITA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193" s="30">
        <v>0.1</v>
      </c>
    </row>
    <row r="194" spans="1:16" x14ac:dyDescent="0.2">
      <c r="A194" t="s">
        <v>60</v>
      </c>
      <c r="B194" t="s">
        <v>154</v>
      </c>
      <c r="C194" s="29">
        <f>VLOOKUP(B194,[1]!Consulta1[#All],2,FALSE)</f>
        <v>50862</v>
      </c>
      <c r="E194">
        <v>100</v>
      </c>
      <c r="F194">
        <v>1.2</v>
      </c>
      <c r="G194">
        <v>1.2</v>
      </c>
      <c r="H194">
        <v>1.05</v>
      </c>
      <c r="I194">
        <v>0.95</v>
      </c>
      <c r="J194" t="s">
        <v>68</v>
      </c>
      <c r="K194">
        <v>0.7</v>
      </c>
      <c r="M194" s="29">
        <f>VLOOKUP(A194,[1]!Consulta1[#All],2,FALSE)</f>
        <v>468</v>
      </c>
      <c r="O194" s="29" t="str">
        <f t="shared" si="2"/>
        <v>insert tariffs (origin_id,destin_id,provider_id,airline_id,comodity_id,min,n,comments,active,user_id,type_tariff,forty_five_more,hundred_more,three_hundred_more,five_hundred_more,thousand_more,f_end,created_at,updated_at,airchaft,cost, offer) values ('468','50862','8265','8299','4','100','1.2','&lt;p&gt;ITA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194" s="30">
        <v>0.1</v>
      </c>
    </row>
    <row r="195" spans="1:16" x14ac:dyDescent="0.2">
      <c r="A195" t="s">
        <v>60</v>
      </c>
      <c r="B195" t="s">
        <v>155</v>
      </c>
      <c r="C195" s="29">
        <f>VLOOKUP(B195,[1]!Consulta1[#All],2,FALSE)</f>
        <v>39775</v>
      </c>
      <c r="E195">
        <v>100</v>
      </c>
      <c r="F195">
        <v>1.2</v>
      </c>
      <c r="G195">
        <v>1.2</v>
      </c>
      <c r="H195">
        <v>1.05</v>
      </c>
      <c r="I195">
        <v>0.95</v>
      </c>
      <c r="J195" t="s">
        <v>68</v>
      </c>
      <c r="K195">
        <v>0.7</v>
      </c>
      <c r="M195" s="29">
        <f>VLOOKUP(A195,[1]!Consulta1[#All],2,FALSE)</f>
        <v>468</v>
      </c>
      <c r="O195" s="29" t="str">
        <f t="shared" ref="O195:O258" si="3">CONCATENATE("insert tariffs (origin_id,destin_id,provider_id,airline_id,comodity_id,min,n,comments,active,user_id,type_tariff,forty_five_more,hundred_more,three_hundred_more,five_hundred_more,thousand_more,f_end,created_at,updated_at,airchaft,cost, offer) values ('",M195,"','",C195,"','8265','8299','",$N$2,"','",E195,"','",F195,"','",$L$2,"',1,1,3,'",G195,"','",H195,"','",I195,"','",J195,"','",K195,"','2025-09-30',now(),now(),2,'",P195,"','1');")</f>
        <v>insert tariffs (origin_id,destin_id,provider_id,airline_id,comodity_id,min,n,comments,active,user_id,type_tariff,forty_five_more,hundred_more,three_hundred_more,five_hundred_more,thousand_more,f_end,created_at,updated_at,airchaft,cost, offer) values ('468','39775','8265','8299','4','100','1.2','&lt;p&gt;ITA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195" s="30">
        <v>0.1</v>
      </c>
    </row>
    <row r="196" spans="1:16" x14ac:dyDescent="0.2">
      <c r="A196" t="s">
        <v>60</v>
      </c>
      <c r="B196" t="s">
        <v>156</v>
      </c>
      <c r="C196" s="29">
        <f>VLOOKUP(B196,[1]!Consulta1[#All],2,FALSE)</f>
        <v>50842</v>
      </c>
      <c r="E196">
        <v>100</v>
      </c>
      <c r="F196">
        <v>1.2</v>
      </c>
      <c r="G196">
        <v>1.2</v>
      </c>
      <c r="H196">
        <v>1.05</v>
      </c>
      <c r="I196">
        <v>0.95</v>
      </c>
      <c r="J196" t="s">
        <v>68</v>
      </c>
      <c r="K196">
        <v>0.7</v>
      </c>
      <c r="M196" s="29">
        <f>VLOOKUP(A196,[1]!Consulta1[#All],2,FALSE)</f>
        <v>468</v>
      </c>
      <c r="O196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('468','50842','8265','8299','4','100','1.2','&lt;p&gt;ITA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196" s="30">
        <v>0.1</v>
      </c>
    </row>
    <row r="197" spans="1:16" x14ac:dyDescent="0.2">
      <c r="A197" t="s">
        <v>60</v>
      </c>
      <c r="B197" t="s">
        <v>158</v>
      </c>
      <c r="C197" s="29">
        <f>VLOOKUP(B197,[1]!Consulta1[#All],2,FALSE)</f>
        <v>50908</v>
      </c>
      <c r="E197">
        <v>100</v>
      </c>
      <c r="F197">
        <v>1.2</v>
      </c>
      <c r="G197">
        <v>1.2</v>
      </c>
      <c r="H197">
        <v>1.05</v>
      </c>
      <c r="I197">
        <v>0.95</v>
      </c>
      <c r="J197" t="s">
        <v>68</v>
      </c>
      <c r="K197">
        <v>0.7</v>
      </c>
      <c r="M197" s="29">
        <f>VLOOKUP(A197,[1]!Consulta1[#All],2,FALSE)</f>
        <v>468</v>
      </c>
      <c r="O197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('468','50908','8265','8299','4','100','1.2','&lt;p&gt;ITA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197" s="30">
        <v>0.1</v>
      </c>
    </row>
    <row r="198" spans="1:16" x14ac:dyDescent="0.2">
      <c r="A198" t="s">
        <v>60</v>
      </c>
      <c r="B198" t="s">
        <v>159</v>
      </c>
      <c r="C198" s="29">
        <f>VLOOKUP(B198,[1]!Consulta1[#All],2,FALSE)</f>
        <v>50909</v>
      </c>
      <c r="E198">
        <v>100</v>
      </c>
      <c r="F198">
        <v>1.2</v>
      </c>
      <c r="G198">
        <v>1.2</v>
      </c>
      <c r="H198">
        <v>1.05</v>
      </c>
      <c r="I198">
        <v>0.95</v>
      </c>
      <c r="J198" t="s">
        <v>68</v>
      </c>
      <c r="K198">
        <v>0.7</v>
      </c>
      <c r="M198" s="29">
        <f>VLOOKUP(A198,[1]!Consulta1[#All],2,FALSE)</f>
        <v>468</v>
      </c>
      <c r="O198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('468','50909','8265','8299','4','100','1.2','&lt;p&gt;ITA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198" s="30">
        <v>0.1</v>
      </c>
    </row>
    <row r="199" spans="1:16" x14ac:dyDescent="0.2">
      <c r="A199" t="s">
        <v>60</v>
      </c>
      <c r="B199" t="s">
        <v>160</v>
      </c>
      <c r="C199" s="29">
        <f>VLOOKUP(B199,[1]!Consulta1[#All],2,FALSE)</f>
        <v>39778</v>
      </c>
      <c r="E199">
        <v>100</v>
      </c>
      <c r="F199">
        <v>1.2</v>
      </c>
      <c r="G199">
        <v>1.2</v>
      </c>
      <c r="H199">
        <v>1.05</v>
      </c>
      <c r="I199">
        <v>0.95</v>
      </c>
      <c r="J199" t="s">
        <v>68</v>
      </c>
      <c r="K199">
        <v>0.7</v>
      </c>
      <c r="M199" s="29">
        <f>VLOOKUP(A199,[1]!Consulta1[#All],2,FALSE)</f>
        <v>468</v>
      </c>
      <c r="O199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('468','39778','8265','8299','4','100','1.2','&lt;p&gt;ITA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199" s="30">
        <v>0.1</v>
      </c>
    </row>
    <row r="200" spans="1:16" x14ac:dyDescent="0.2">
      <c r="A200" t="s">
        <v>60</v>
      </c>
      <c r="B200" t="s">
        <v>161</v>
      </c>
      <c r="C200" s="29">
        <f>VLOOKUP(B200,[1]!Consulta1[#All],2,FALSE)</f>
        <v>50914</v>
      </c>
      <c r="E200">
        <v>100</v>
      </c>
      <c r="F200">
        <v>1.2</v>
      </c>
      <c r="G200">
        <v>1.2</v>
      </c>
      <c r="H200">
        <v>1.05</v>
      </c>
      <c r="I200">
        <v>0.95</v>
      </c>
      <c r="J200" t="s">
        <v>68</v>
      </c>
      <c r="K200">
        <v>0.7</v>
      </c>
      <c r="M200" s="29">
        <f>VLOOKUP(A200,[1]!Consulta1[#All],2,FALSE)</f>
        <v>468</v>
      </c>
      <c r="O200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('468','50914','8265','8299','4','100','1.2','&lt;p&gt;ITA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200" s="30">
        <v>0.1</v>
      </c>
    </row>
    <row r="201" spans="1:16" x14ac:dyDescent="0.2">
      <c r="A201" t="s">
        <v>60</v>
      </c>
      <c r="B201" t="s">
        <v>162</v>
      </c>
      <c r="C201" s="29">
        <f>VLOOKUP(B201,[1]!Consulta1[#All],2,FALSE)</f>
        <v>51114</v>
      </c>
      <c r="E201">
        <v>100</v>
      </c>
      <c r="F201">
        <v>1.2</v>
      </c>
      <c r="G201">
        <v>1.2</v>
      </c>
      <c r="H201">
        <v>1.05</v>
      </c>
      <c r="I201">
        <v>0.95</v>
      </c>
      <c r="J201" t="s">
        <v>68</v>
      </c>
      <c r="K201">
        <v>0.7</v>
      </c>
      <c r="M201" s="29">
        <f>VLOOKUP(A201,[1]!Consulta1[#All],2,FALSE)</f>
        <v>468</v>
      </c>
      <c r="O201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('468','51114','8265','8299','4','100','1.2','&lt;p&gt;ITA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201" s="30">
        <v>0.1</v>
      </c>
    </row>
    <row r="202" spans="1:16" x14ac:dyDescent="0.2">
      <c r="A202" t="s">
        <v>60</v>
      </c>
      <c r="B202" t="s">
        <v>163</v>
      </c>
      <c r="C202" s="29">
        <f>VLOOKUP(B202,[1]!Consulta1[#All],2,FALSE)</f>
        <v>51120</v>
      </c>
      <c r="E202">
        <v>100</v>
      </c>
      <c r="F202">
        <v>1.2</v>
      </c>
      <c r="G202">
        <v>1.2</v>
      </c>
      <c r="H202">
        <v>1.05</v>
      </c>
      <c r="I202">
        <v>0.95</v>
      </c>
      <c r="J202" t="s">
        <v>68</v>
      </c>
      <c r="K202">
        <v>0.7</v>
      </c>
      <c r="M202" s="29">
        <f>VLOOKUP(A202,[1]!Consulta1[#All],2,FALSE)</f>
        <v>468</v>
      </c>
      <c r="O202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('468','51120','8265','8299','4','100','1.2','&lt;p&gt;ITA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202" s="30">
        <v>0.1</v>
      </c>
    </row>
    <row r="203" spans="1:16" x14ac:dyDescent="0.2">
      <c r="A203" t="s">
        <v>60</v>
      </c>
      <c r="B203" t="s">
        <v>157</v>
      </c>
      <c r="C203" s="29">
        <f>VLOOKUP(B203,[1]!Consulta1[#All],2,FALSE)</f>
        <v>50995</v>
      </c>
      <c r="E203">
        <v>100</v>
      </c>
      <c r="F203">
        <v>1.2</v>
      </c>
      <c r="G203">
        <v>1.2</v>
      </c>
      <c r="H203">
        <v>1.05</v>
      </c>
      <c r="I203">
        <v>0.95</v>
      </c>
      <c r="J203" t="s">
        <v>68</v>
      </c>
      <c r="K203">
        <v>0.7</v>
      </c>
      <c r="M203" s="29">
        <f>VLOOKUP(A203,[1]!Consulta1[#All],2,FALSE)</f>
        <v>468</v>
      </c>
      <c r="O203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('468','50995','8265','8299','4','100','1.2','&lt;p&gt;ITA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203" s="30">
        <v>0.1</v>
      </c>
    </row>
    <row r="204" spans="1:16" x14ac:dyDescent="0.2">
      <c r="A204" t="s">
        <v>60</v>
      </c>
      <c r="B204" t="s">
        <v>168</v>
      </c>
      <c r="C204" s="29">
        <f>VLOOKUP(B204,[1]!Consulta1[#All],2,FALSE)</f>
        <v>51007</v>
      </c>
      <c r="E204">
        <v>100</v>
      </c>
      <c r="F204">
        <v>1.2</v>
      </c>
      <c r="G204">
        <v>1.2</v>
      </c>
      <c r="H204">
        <v>1.05</v>
      </c>
      <c r="I204">
        <v>0.95</v>
      </c>
      <c r="J204" t="s">
        <v>68</v>
      </c>
      <c r="K204">
        <v>0.7</v>
      </c>
      <c r="M204" s="29">
        <f>VLOOKUP(A204,[1]!Consulta1[#All],2,FALSE)</f>
        <v>468</v>
      </c>
      <c r="O204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('468','51007','8265','8299','4','100','1.2','&lt;p&gt;ITA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()&lt;/p&gt;',1,1,3,'1.2','1.05','0.95','0.85','0.7','2025-09-30',now(),now(),2,'0.1','1');</v>
      </c>
      <c r="P204" s="30">
        <v>0.1</v>
      </c>
    </row>
    <row r="205" spans="1:16" x14ac:dyDescent="0.2">
      <c r="A205" t="s">
        <v>60</v>
      </c>
      <c r="B205" t="s">
        <v>164</v>
      </c>
      <c r="C205" s="29">
        <f>VLOOKUP(B205,[1]!Consulta1[#All],2,FALSE)</f>
        <v>51096</v>
      </c>
      <c r="E205">
        <v>100</v>
      </c>
      <c r="F205">
        <v>4.5</v>
      </c>
      <c r="G205">
        <v>3.8</v>
      </c>
      <c r="H205">
        <v>1.95</v>
      </c>
      <c r="I205">
        <v>1.85</v>
      </c>
      <c r="J205" t="s">
        <v>102</v>
      </c>
      <c r="K205">
        <v>1.65</v>
      </c>
      <c r="M205" s="29">
        <f>VLOOKUP(A205,[1]!Consulta1[#All],2,FALSE)</f>
        <v>468</v>
      </c>
      <c r="O205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('468','51096','8265','8299','4','100','4.5','&lt;p&gt;ITA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()&lt;/p&gt;',1,1,3,'3.8','1.95','1.85','1.75','1.65','2025-09-30',now(),now(),2,'0.1','1');</v>
      </c>
      <c r="P205" s="30">
        <v>0.1</v>
      </c>
    </row>
    <row r="206" spans="1:16" x14ac:dyDescent="0.2">
      <c r="A206" t="s">
        <v>60</v>
      </c>
      <c r="B206" t="s">
        <v>165</v>
      </c>
      <c r="C206" s="29">
        <f>VLOOKUP(B206,[1]!Consulta1[#All],2,FALSE)</f>
        <v>50922</v>
      </c>
      <c r="E206">
        <v>100</v>
      </c>
      <c r="F206">
        <v>4.5</v>
      </c>
      <c r="G206">
        <v>3.8</v>
      </c>
      <c r="H206">
        <v>1.95</v>
      </c>
      <c r="I206">
        <v>1.85</v>
      </c>
      <c r="J206" t="s">
        <v>102</v>
      </c>
      <c r="K206">
        <v>1.65</v>
      </c>
      <c r="M206" s="29">
        <f>VLOOKUP(A206,[1]!Consulta1[#All],2,FALSE)</f>
        <v>468</v>
      </c>
      <c r="O206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('468','50922','8265','8299','4','100','4.5','&lt;p&gt;ITA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()&lt;/p&gt;',1,1,3,'3.8','1.95','1.85','1.75','1.65','2025-09-30',now(),now(),2,'0.1','1');</v>
      </c>
      <c r="P206" s="30">
        <v>0.1</v>
      </c>
    </row>
    <row r="207" spans="1:16" x14ac:dyDescent="0.2">
      <c r="A207" t="s">
        <v>60</v>
      </c>
      <c r="B207" t="s">
        <v>54</v>
      </c>
      <c r="C207" s="29">
        <f>VLOOKUP(B207,[1]!Consulta1[#All],2,FALSE)</f>
        <v>51004</v>
      </c>
      <c r="E207">
        <v>100</v>
      </c>
      <c r="F207">
        <v>4.5</v>
      </c>
      <c r="G207">
        <v>3.8</v>
      </c>
      <c r="H207">
        <v>1.95</v>
      </c>
      <c r="I207">
        <v>1.85</v>
      </c>
      <c r="J207" t="s">
        <v>102</v>
      </c>
      <c r="K207">
        <v>1.65</v>
      </c>
      <c r="M207" s="29">
        <f>VLOOKUP(A207,[1]!Consulta1[#All],2,FALSE)</f>
        <v>468</v>
      </c>
      <c r="O207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('468','51004','8265','8299','4','100','4.5','&lt;p&gt;ITA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()&lt;/p&gt;',1,1,3,'3.8','1.95','1.85','1.75','1.65','2025-09-30',now(),now(),2,'0.1','1');</v>
      </c>
      <c r="P207" s="30">
        <v>0.1</v>
      </c>
    </row>
    <row r="208" spans="1:16" x14ac:dyDescent="0.2">
      <c r="A208" t="s">
        <v>60</v>
      </c>
      <c r="B208" t="s">
        <v>52</v>
      </c>
      <c r="C208" s="29">
        <f>VLOOKUP(B208,[1]!Consulta1[#All],2,FALSE)</f>
        <v>39771</v>
      </c>
      <c r="E208">
        <v>100</v>
      </c>
      <c r="F208">
        <v>4.5</v>
      </c>
      <c r="G208">
        <v>3.8</v>
      </c>
      <c r="H208">
        <v>1.4</v>
      </c>
      <c r="I208">
        <v>1.3</v>
      </c>
      <c r="J208" t="s">
        <v>82</v>
      </c>
      <c r="K208">
        <v>1.1000000000000001</v>
      </c>
      <c r="M208" s="29">
        <f>VLOOKUP(A208,[1]!Consulta1[#All],2,FALSE)</f>
        <v>468</v>
      </c>
      <c r="O208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('468','39771','8265','8299','4','100','4.5','&lt;p&gt;ITA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()&lt;/p&gt;',1,1,3,'3.8','1.4','1.3','1.2','1.1','2025-09-30',now(),now(),2,'0.1','1');</v>
      </c>
      <c r="P208" s="30">
        <v>0.1</v>
      </c>
    </row>
    <row r="209" spans="1:16" x14ac:dyDescent="0.2">
      <c r="A209" t="s">
        <v>60</v>
      </c>
      <c r="B209" t="s">
        <v>51</v>
      </c>
      <c r="C209" s="29">
        <f>VLOOKUP(B209,[1]!Consulta1[#All],2,FALSE)</f>
        <v>50830</v>
      </c>
      <c r="E209">
        <v>100</v>
      </c>
      <c r="F209">
        <v>4.5</v>
      </c>
      <c r="G209">
        <v>3.8</v>
      </c>
      <c r="H209">
        <v>1.45</v>
      </c>
      <c r="I209">
        <v>1.35</v>
      </c>
      <c r="J209" t="s">
        <v>110</v>
      </c>
      <c r="K209">
        <v>1.1499999999999999</v>
      </c>
      <c r="M209" s="29">
        <f>VLOOKUP(A209,[1]!Consulta1[#All],2,FALSE)</f>
        <v>468</v>
      </c>
      <c r="O209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('468','50830','8265','8299','4','100','4.5','&lt;p&gt;ITA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()&lt;/p&gt;',1,1,3,'3.8','1.45','1.35','1.25','1.15','2025-09-30',now(),now(),2,'0.1','1');</v>
      </c>
      <c r="P209" s="30">
        <v>0.1</v>
      </c>
    </row>
    <row r="210" spans="1:16" x14ac:dyDescent="0.2">
      <c r="A210" t="s">
        <v>60</v>
      </c>
      <c r="B210" t="s">
        <v>166</v>
      </c>
      <c r="C210" s="29">
        <f>VLOOKUP(B210,[1]!Consulta1[#All],2,FALSE)</f>
        <v>529</v>
      </c>
      <c r="E210">
        <v>100</v>
      </c>
      <c r="F210">
        <v>4.5</v>
      </c>
      <c r="G210">
        <v>3.8</v>
      </c>
      <c r="H210">
        <v>1.85</v>
      </c>
      <c r="I210">
        <v>1.75</v>
      </c>
      <c r="J210" t="s">
        <v>103</v>
      </c>
      <c r="K210">
        <v>1.45</v>
      </c>
      <c r="M210" s="29">
        <f>VLOOKUP(A210,[1]!Consulta1[#All],2,FALSE)</f>
        <v>468</v>
      </c>
      <c r="O210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('468','529','8265','8299','4','100','4.5','&lt;p&gt;ITA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()&lt;/p&gt;',1,1,3,'3.8','1.85','1.75','1.65','1.45','2025-09-30',now(),now(),2,'0.1','1');</v>
      </c>
      <c r="P210" s="30">
        <v>0.1</v>
      </c>
    </row>
    <row r="211" spans="1:16" x14ac:dyDescent="0.2">
      <c r="A211" t="s">
        <v>60</v>
      </c>
      <c r="B211" t="s">
        <v>167</v>
      </c>
      <c r="C211" s="29">
        <f>VLOOKUP(B211,[1]!Consulta1[#All],2,FALSE)</f>
        <v>50954</v>
      </c>
      <c r="E211">
        <v>100</v>
      </c>
      <c r="F211">
        <v>4.5</v>
      </c>
      <c r="G211">
        <v>3.8</v>
      </c>
      <c r="H211">
        <v>1.85</v>
      </c>
      <c r="I211">
        <v>1.75</v>
      </c>
      <c r="J211" t="s">
        <v>103</v>
      </c>
      <c r="K211">
        <v>1.45</v>
      </c>
      <c r="M211" s="29">
        <f>VLOOKUP(A211,[1]!Consulta1[#All],2,FALSE)</f>
        <v>468</v>
      </c>
      <c r="O211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('468','50954','8265','8299','4','100','4.5','&lt;p&gt;ITA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()&lt;/p&gt;',1,1,3,'3.8','1.85','1.75','1.65','1.45','2025-09-30',now(),now(),2,'0.1','1');</v>
      </c>
      <c r="P211" s="30">
        <v>0.1</v>
      </c>
    </row>
    <row r="212" spans="1:16" x14ac:dyDescent="0.2">
      <c r="A212" t="s">
        <v>62</v>
      </c>
      <c r="B212" t="s">
        <v>47</v>
      </c>
      <c r="C212" s="29">
        <f>VLOOKUP(B212,[1]!Consulta1[#All],2,FALSE)</f>
        <v>50961</v>
      </c>
      <c r="E212">
        <v>100</v>
      </c>
      <c r="F212">
        <v>0.95</v>
      </c>
      <c r="G212">
        <v>0.95</v>
      </c>
      <c r="H212">
        <v>0.95</v>
      </c>
      <c r="I212">
        <v>0.85</v>
      </c>
      <c r="J212" t="s">
        <v>70</v>
      </c>
      <c r="K212">
        <v>0.65</v>
      </c>
      <c r="M212" s="29">
        <f>VLOOKUP(A212,[1]!Consulta1[#All],2,FALSE)</f>
        <v>123</v>
      </c>
      <c r="O212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('123','50961','8265','8299','4','100','0.95','&lt;p&gt;ITA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()&lt;/p&gt;',1,1,3,'0.95','0.95','0.85','0.75','0.65','2025-09-30',now(),now(),2,'0.1','1');</v>
      </c>
      <c r="P212" s="30">
        <v>0.1</v>
      </c>
    </row>
    <row r="213" spans="1:16" x14ac:dyDescent="0.2">
      <c r="A213" t="s">
        <v>62</v>
      </c>
      <c r="B213" t="s">
        <v>48</v>
      </c>
      <c r="C213" s="29">
        <f>VLOOKUP(B213,[1]!Consulta1[#All],2,FALSE)</f>
        <v>49720</v>
      </c>
      <c r="E213">
        <v>100</v>
      </c>
      <c r="F213">
        <v>0.85</v>
      </c>
      <c r="G213">
        <v>0.85</v>
      </c>
      <c r="H213">
        <v>0.85</v>
      </c>
      <c r="I213">
        <v>0.8</v>
      </c>
      <c r="J213" t="s">
        <v>70</v>
      </c>
      <c r="K213">
        <v>0.7</v>
      </c>
      <c r="M213" s="29">
        <f>VLOOKUP(A213,[1]!Consulta1[#All],2,FALSE)</f>
        <v>123</v>
      </c>
      <c r="O213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('123','49720','8265','8299','4','100','0.85','&lt;p&gt;ITA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()&lt;/p&gt;',1,1,3,'0.85','0.85','0.8','0.75','0.7','2025-09-30',now(),now(),2,'0.1','1');</v>
      </c>
      <c r="P213" s="30">
        <v>0.1</v>
      </c>
    </row>
    <row r="214" spans="1:16" x14ac:dyDescent="0.2">
      <c r="A214" t="s">
        <v>62</v>
      </c>
      <c r="B214" t="s">
        <v>139</v>
      </c>
      <c r="C214" s="29">
        <f>VLOOKUP(B214,[1]!Consulta1[#All],2,FALSE)</f>
        <v>39776</v>
      </c>
      <c r="E214">
        <v>100</v>
      </c>
      <c r="F214">
        <v>4.5</v>
      </c>
      <c r="G214">
        <v>3.8</v>
      </c>
      <c r="H214">
        <v>1.5</v>
      </c>
      <c r="I214">
        <v>1.4</v>
      </c>
      <c r="J214" t="s">
        <v>81</v>
      </c>
      <c r="K214">
        <v>1.2</v>
      </c>
      <c r="M214" s="29">
        <f>VLOOKUP(A214,[1]!Consulta1[#All],2,FALSE)</f>
        <v>123</v>
      </c>
      <c r="O214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('123','39776','8265','8299','4','100','4.5','&lt;p&gt;ITA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()&lt;/p&gt;',1,1,3,'3.8','1.5','1.4','1.3','1.2','2025-09-30',now(),now(),2,'0.1','1');</v>
      </c>
      <c r="P214" s="30">
        <v>0.1</v>
      </c>
    </row>
    <row r="215" spans="1:16" x14ac:dyDescent="0.2">
      <c r="A215" t="s">
        <v>62</v>
      </c>
      <c r="B215" t="s">
        <v>140</v>
      </c>
      <c r="C215" s="29">
        <f>VLOOKUP(B215,[1]!Consulta1[#All],2,FALSE)</f>
        <v>50708</v>
      </c>
      <c r="E215">
        <v>100</v>
      </c>
      <c r="F215">
        <v>4.5</v>
      </c>
      <c r="G215">
        <v>3.8</v>
      </c>
      <c r="H215">
        <v>1.5</v>
      </c>
      <c r="I215">
        <v>1.4</v>
      </c>
      <c r="J215" t="s">
        <v>81</v>
      </c>
      <c r="K215">
        <v>1.2</v>
      </c>
      <c r="M215" s="29">
        <f>VLOOKUP(A215,[1]!Consulta1[#All],2,FALSE)</f>
        <v>123</v>
      </c>
      <c r="O215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('123','50708','8265','8299','4','100','4.5','&lt;p&gt;ITA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()&lt;/p&gt;',1,1,3,'3.8','1.5','1.4','1.3','1.2','2025-09-30',now(),now(),2,'0.1','1');</v>
      </c>
      <c r="P215" s="30">
        <v>0.1</v>
      </c>
    </row>
    <row r="216" spans="1:16" x14ac:dyDescent="0.2">
      <c r="A216" t="s">
        <v>62</v>
      </c>
      <c r="B216" t="s">
        <v>141</v>
      </c>
      <c r="C216" s="29">
        <f>VLOOKUP(B216,[1]!Consulta1[#All],2,FALSE)</f>
        <v>50977</v>
      </c>
      <c r="E216">
        <v>100</v>
      </c>
      <c r="F216">
        <v>1.05</v>
      </c>
      <c r="G216">
        <v>1.05</v>
      </c>
      <c r="H216">
        <v>1.05</v>
      </c>
      <c r="I216">
        <v>0.95</v>
      </c>
      <c r="J216" t="s">
        <v>68</v>
      </c>
      <c r="K216">
        <v>0.8</v>
      </c>
      <c r="M216" s="29">
        <f>VLOOKUP(A216,[1]!Consulta1[#All],2,FALSE)</f>
        <v>123</v>
      </c>
      <c r="O216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('123','50977','8265','8299','4','100','1.05','&lt;p&gt;ITA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()&lt;/p&gt;',1,1,3,'1.05','1.05','0.95','0.85','0.8','2025-09-30',now(),now(),2,'0.1','1');</v>
      </c>
      <c r="P216" s="30">
        <v>0.1</v>
      </c>
    </row>
    <row r="217" spans="1:16" x14ac:dyDescent="0.2">
      <c r="A217" t="s">
        <v>62</v>
      </c>
      <c r="B217" t="s">
        <v>142</v>
      </c>
      <c r="C217" s="29">
        <f>VLOOKUP(B217,[1]!Consulta1[#All],2,FALSE)</f>
        <v>51126</v>
      </c>
      <c r="E217">
        <v>100</v>
      </c>
      <c r="F217">
        <v>1.05</v>
      </c>
      <c r="G217">
        <v>1.05</v>
      </c>
      <c r="H217">
        <v>1.05</v>
      </c>
      <c r="I217">
        <v>0.95</v>
      </c>
      <c r="J217" t="s">
        <v>68</v>
      </c>
      <c r="K217">
        <v>0.8</v>
      </c>
      <c r="M217" s="29">
        <f>VLOOKUP(A217,[1]!Consulta1[#All],2,FALSE)</f>
        <v>123</v>
      </c>
      <c r="O217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('123','51126','8265','8299','4','100','1.05','&lt;p&gt;ITA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()&lt;/p&gt;',1,1,3,'1.05','1.05','0.95','0.85','0.8','2025-09-30',now(),now(),2,'0.1','1');</v>
      </c>
      <c r="P217" s="30">
        <v>0.1</v>
      </c>
    </row>
    <row r="218" spans="1:16" x14ac:dyDescent="0.2">
      <c r="A218" t="s">
        <v>62</v>
      </c>
      <c r="B218" t="s">
        <v>143</v>
      </c>
      <c r="C218" s="29">
        <f>VLOOKUP(B218,[1]!Consulta1[#All],2,FALSE)</f>
        <v>50969</v>
      </c>
      <c r="E218">
        <v>100</v>
      </c>
      <c r="F218">
        <v>1.05</v>
      </c>
      <c r="G218">
        <v>1.05</v>
      </c>
      <c r="H218">
        <v>1.05</v>
      </c>
      <c r="I218">
        <v>0.95</v>
      </c>
      <c r="J218" t="s">
        <v>68</v>
      </c>
      <c r="K218">
        <v>0.8</v>
      </c>
      <c r="M218" s="29">
        <f>VLOOKUP(A218,[1]!Consulta1[#All],2,FALSE)</f>
        <v>123</v>
      </c>
      <c r="O218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('123','50969','8265','8299','4','100','1.05','&lt;p&gt;ITA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()&lt;/p&gt;',1,1,3,'1.05','1.05','0.95','0.85','0.8','2025-09-30',now(),now(),2,'0.1','1');</v>
      </c>
      <c r="P218" s="30">
        <v>0.1</v>
      </c>
    </row>
    <row r="219" spans="1:16" x14ac:dyDescent="0.2">
      <c r="A219" t="s">
        <v>62</v>
      </c>
      <c r="B219" t="s">
        <v>144</v>
      </c>
      <c r="C219" s="29">
        <f>VLOOKUP(B219,[1]!Consulta1[#All],2,FALSE)</f>
        <v>50970</v>
      </c>
      <c r="E219">
        <v>100</v>
      </c>
      <c r="F219">
        <v>1.05</v>
      </c>
      <c r="G219">
        <v>1.05</v>
      </c>
      <c r="H219">
        <v>1.05</v>
      </c>
      <c r="I219">
        <v>0.95</v>
      </c>
      <c r="J219" t="s">
        <v>68</v>
      </c>
      <c r="K219">
        <v>0.8</v>
      </c>
      <c r="M219" s="29">
        <f>VLOOKUP(A219,[1]!Consulta1[#All],2,FALSE)</f>
        <v>123</v>
      </c>
      <c r="O219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('123','50970','8265','8299','4','100','1.05','&lt;p&gt;ITA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()&lt;/p&gt;',1,1,3,'1.05','1.05','0.95','0.85','0.8','2025-09-30',now(),now(),2,'0.1','1');</v>
      </c>
      <c r="P219" s="30">
        <v>0.1</v>
      </c>
    </row>
    <row r="220" spans="1:16" x14ac:dyDescent="0.2">
      <c r="A220" t="s">
        <v>62</v>
      </c>
      <c r="B220" t="s">
        <v>145</v>
      </c>
      <c r="C220" s="29">
        <f>VLOOKUP(B220,[1]!Consulta1[#All],2,FALSE)</f>
        <v>50972</v>
      </c>
      <c r="E220">
        <v>100</v>
      </c>
      <c r="F220">
        <v>1.05</v>
      </c>
      <c r="G220">
        <v>1.05</v>
      </c>
      <c r="H220">
        <v>1.05</v>
      </c>
      <c r="I220">
        <v>0.95</v>
      </c>
      <c r="J220" t="s">
        <v>68</v>
      </c>
      <c r="K220">
        <v>0.8</v>
      </c>
      <c r="M220" s="29">
        <f>VLOOKUP(A220,[1]!Consulta1[#All],2,FALSE)</f>
        <v>123</v>
      </c>
      <c r="O220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('123','50972','8265','8299','4','100','1.05','&lt;p&gt;ITA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()&lt;/p&gt;',1,1,3,'1.05','1.05','0.95','0.85','0.8','2025-09-30',now(),now(),2,'0.1','1');</v>
      </c>
      <c r="P220" s="30">
        <v>0.1</v>
      </c>
    </row>
    <row r="221" spans="1:16" x14ac:dyDescent="0.2">
      <c r="A221" t="s">
        <v>62</v>
      </c>
      <c r="B221" t="s">
        <v>146</v>
      </c>
      <c r="C221" s="29">
        <f>VLOOKUP(B221,[1]!Consulta1[#All],2,FALSE)</f>
        <v>51381</v>
      </c>
      <c r="E221">
        <v>100</v>
      </c>
      <c r="F221">
        <v>1.05</v>
      </c>
      <c r="G221">
        <v>1.05</v>
      </c>
      <c r="H221">
        <v>1.05</v>
      </c>
      <c r="I221">
        <v>0.95</v>
      </c>
      <c r="J221" t="s">
        <v>68</v>
      </c>
      <c r="K221">
        <v>0.8</v>
      </c>
      <c r="M221" s="29">
        <f>VLOOKUP(A221,[1]!Consulta1[#All],2,FALSE)</f>
        <v>123</v>
      </c>
      <c r="O221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('123','51381','8265','8299','4','100','1.05','&lt;p&gt;ITA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()&lt;/p&gt;',1,1,3,'1.05','1.05','0.95','0.85','0.8','2025-09-30',now(),now(),2,'0.1','1');</v>
      </c>
      <c r="P221" s="30">
        <v>0.1</v>
      </c>
    </row>
    <row r="222" spans="1:16" x14ac:dyDescent="0.2">
      <c r="A222" t="s">
        <v>62</v>
      </c>
      <c r="B222" t="s">
        <v>147</v>
      </c>
      <c r="C222" s="29">
        <f>VLOOKUP(B222,[1]!Consulta1[#All],2,FALSE)</f>
        <v>51285</v>
      </c>
      <c r="E222">
        <v>100</v>
      </c>
      <c r="F222">
        <v>1.05</v>
      </c>
      <c r="G222">
        <v>1.05</v>
      </c>
      <c r="H222">
        <v>1.05</v>
      </c>
      <c r="I222">
        <v>0.95</v>
      </c>
      <c r="J222" t="s">
        <v>68</v>
      </c>
      <c r="K222">
        <v>0.8</v>
      </c>
      <c r="M222" s="29">
        <f>VLOOKUP(A222,[1]!Consulta1[#All],2,FALSE)</f>
        <v>123</v>
      </c>
      <c r="O222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('123','51285','8265','8299','4','100','1.05','&lt;p&gt;ITA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()&lt;/p&gt;',1,1,3,'1.05','1.05','0.95','0.85','0.8','2025-09-30',now(),now(),2,'0.1','1');</v>
      </c>
      <c r="P222" s="30">
        <v>0.1</v>
      </c>
    </row>
    <row r="223" spans="1:16" x14ac:dyDescent="0.2">
      <c r="A223" t="s">
        <v>62</v>
      </c>
      <c r="B223" t="s">
        <v>148</v>
      </c>
      <c r="C223" s="29">
        <f>VLOOKUP(B223,[1]!Consulta1[#All],2,FALSE)</f>
        <v>51147</v>
      </c>
      <c r="E223">
        <v>100</v>
      </c>
      <c r="F223">
        <v>1.05</v>
      </c>
      <c r="G223">
        <v>1.05</v>
      </c>
      <c r="H223">
        <v>1.05</v>
      </c>
      <c r="I223">
        <v>0.95</v>
      </c>
      <c r="J223" t="s">
        <v>68</v>
      </c>
      <c r="K223">
        <v>0.8</v>
      </c>
      <c r="M223" s="29">
        <f>VLOOKUP(A223,[1]!Consulta1[#All],2,FALSE)</f>
        <v>123</v>
      </c>
      <c r="O223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('123','51147','8265','8299','4','100','1.05','&lt;p&gt;ITA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()&lt;/p&gt;',1,1,3,'1.05','1.05','0.95','0.85','0.8','2025-09-30',now(),now(),2,'0.1','1');</v>
      </c>
      <c r="P223" s="30">
        <v>0.1</v>
      </c>
    </row>
    <row r="224" spans="1:16" x14ac:dyDescent="0.2">
      <c r="A224" t="s">
        <v>62</v>
      </c>
      <c r="B224" t="s">
        <v>149</v>
      </c>
      <c r="C224" s="29">
        <f>VLOOKUP(B224,[1]!Consulta1[#All],2,FALSE)</f>
        <v>53322</v>
      </c>
      <c r="E224">
        <v>100</v>
      </c>
      <c r="F224">
        <v>1.05</v>
      </c>
      <c r="G224">
        <v>1.05</v>
      </c>
      <c r="H224">
        <v>1.05</v>
      </c>
      <c r="I224">
        <v>0.95</v>
      </c>
      <c r="J224" t="s">
        <v>68</v>
      </c>
      <c r="K224">
        <v>0.8</v>
      </c>
      <c r="M224" s="29">
        <f>VLOOKUP(A224,[1]!Consulta1[#All],2,FALSE)</f>
        <v>123</v>
      </c>
      <c r="O224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('123','53322','8265','8299','4','100','1.05','&lt;p&gt;ITA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()&lt;/p&gt;',1,1,3,'1.05','1.05','0.95','0.85','0.8','2025-09-30',now(),now(),2,'0.1','1');</v>
      </c>
      <c r="P224" s="30">
        <v>0.1</v>
      </c>
    </row>
    <row r="225" spans="1:16" x14ac:dyDescent="0.2">
      <c r="A225" t="s">
        <v>62</v>
      </c>
      <c r="B225" t="s">
        <v>150</v>
      </c>
      <c r="C225" s="29">
        <f>VLOOKUP(B225,[1]!Consulta1[#All],2,FALSE)</f>
        <v>51286</v>
      </c>
      <c r="E225">
        <v>100</v>
      </c>
      <c r="F225">
        <v>1.05</v>
      </c>
      <c r="G225">
        <v>1.05</v>
      </c>
      <c r="H225">
        <v>1.05</v>
      </c>
      <c r="I225">
        <v>0.95</v>
      </c>
      <c r="J225" t="s">
        <v>68</v>
      </c>
      <c r="K225">
        <v>0.8</v>
      </c>
      <c r="M225" s="29">
        <f>VLOOKUP(A225,[1]!Consulta1[#All],2,FALSE)</f>
        <v>123</v>
      </c>
      <c r="O225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('123','51286','8265','8299','4','100','1.05','&lt;p&gt;ITA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()&lt;/p&gt;',1,1,3,'1.05','1.05','0.95','0.85','0.8','2025-09-30',now(),now(),2,'0.1','1');</v>
      </c>
      <c r="P225" s="30">
        <v>0.1</v>
      </c>
    </row>
    <row r="226" spans="1:16" x14ac:dyDescent="0.2">
      <c r="A226" t="s">
        <v>62</v>
      </c>
      <c r="B226" t="s">
        <v>151</v>
      </c>
      <c r="C226" s="29">
        <f>VLOOKUP(B226,[1]!Consulta1[#All],2,FALSE)</f>
        <v>51287</v>
      </c>
      <c r="E226">
        <v>100</v>
      </c>
      <c r="F226">
        <v>1.05</v>
      </c>
      <c r="G226">
        <v>1.05</v>
      </c>
      <c r="H226">
        <v>1.05</v>
      </c>
      <c r="I226">
        <v>0.95</v>
      </c>
      <c r="J226" t="s">
        <v>68</v>
      </c>
      <c r="K226">
        <v>0.8</v>
      </c>
      <c r="M226" s="29">
        <f>VLOOKUP(A226,[1]!Consulta1[#All],2,FALSE)</f>
        <v>123</v>
      </c>
      <c r="O226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('123','51287','8265','8299','4','100','1.05','&lt;p&gt;ITA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()&lt;/p&gt;',1,1,3,'1.05','1.05','0.95','0.85','0.8','2025-09-30',now(),now(),2,'0.1','1');</v>
      </c>
      <c r="P226" s="30">
        <v>0.1</v>
      </c>
    </row>
    <row r="227" spans="1:16" x14ac:dyDescent="0.2">
      <c r="A227" t="s">
        <v>62</v>
      </c>
      <c r="B227" t="s">
        <v>152</v>
      </c>
      <c r="C227" s="29">
        <f>VLOOKUP(B227,[1]!Consulta1[#All],2,FALSE)</f>
        <v>1097</v>
      </c>
      <c r="E227">
        <v>100</v>
      </c>
      <c r="F227">
        <v>1.05</v>
      </c>
      <c r="G227">
        <v>1.05</v>
      </c>
      <c r="H227">
        <v>1.05</v>
      </c>
      <c r="I227">
        <v>0.95</v>
      </c>
      <c r="J227" t="s">
        <v>68</v>
      </c>
      <c r="K227">
        <v>0.75</v>
      </c>
      <c r="M227" s="29">
        <f>VLOOKUP(A227,[1]!Consulta1[#All],2,FALSE)</f>
        <v>123</v>
      </c>
      <c r="O227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('123','1097','8265','8299','4','100','1.05','&lt;p&gt;ITA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()&lt;/p&gt;',1,1,3,'1.05','1.05','0.95','0.85','0.75','2025-09-30',now(),now(),2,'0.1','1');</v>
      </c>
      <c r="P227" s="30">
        <v>0.1</v>
      </c>
    </row>
    <row r="228" spans="1:16" x14ac:dyDescent="0.2">
      <c r="A228" t="s">
        <v>62</v>
      </c>
      <c r="B228" t="s">
        <v>153</v>
      </c>
      <c r="C228" s="29">
        <f>VLOOKUP(B228,[1]!Consulta1[#All],2,FALSE)</f>
        <v>39774</v>
      </c>
      <c r="E228">
        <v>100</v>
      </c>
      <c r="F228">
        <v>1.05</v>
      </c>
      <c r="G228">
        <v>1.05</v>
      </c>
      <c r="H228">
        <v>1.05</v>
      </c>
      <c r="I228">
        <v>0.95</v>
      </c>
      <c r="J228" t="s">
        <v>68</v>
      </c>
      <c r="K228">
        <v>0.75</v>
      </c>
      <c r="M228" s="29">
        <f>VLOOKUP(A228,[1]!Consulta1[#All],2,FALSE)</f>
        <v>123</v>
      </c>
      <c r="O228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('123','39774','8265','8299','4','100','1.05','&lt;p&gt;ITA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()&lt;/p&gt;',1,1,3,'1.05','1.05','0.95','0.85','0.75','2025-09-30',now(),now(),2,'0.1','1');</v>
      </c>
      <c r="P228" s="30">
        <v>0.1</v>
      </c>
    </row>
    <row r="229" spans="1:16" x14ac:dyDescent="0.2">
      <c r="A229" t="s">
        <v>62</v>
      </c>
      <c r="B229" t="s">
        <v>154</v>
      </c>
      <c r="C229" s="29">
        <f>VLOOKUP(B229,[1]!Consulta1[#All],2,FALSE)</f>
        <v>50862</v>
      </c>
      <c r="E229">
        <v>100</v>
      </c>
      <c r="F229">
        <v>1.05</v>
      </c>
      <c r="G229">
        <v>1.05</v>
      </c>
      <c r="H229">
        <v>1.05</v>
      </c>
      <c r="I229">
        <v>0.95</v>
      </c>
      <c r="J229" t="s">
        <v>68</v>
      </c>
      <c r="K229">
        <v>0.75</v>
      </c>
      <c r="M229" s="29">
        <f>VLOOKUP(A229,[1]!Consulta1[#All],2,FALSE)</f>
        <v>123</v>
      </c>
      <c r="O229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('123','50862','8265','8299','4','100','1.05','&lt;p&gt;ITA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()&lt;/p&gt;',1,1,3,'1.05','1.05','0.95','0.85','0.75','2025-09-30',now(),now(),2,'0.1','1');</v>
      </c>
      <c r="P229" s="30">
        <v>0.1</v>
      </c>
    </row>
    <row r="230" spans="1:16" x14ac:dyDescent="0.2">
      <c r="A230" t="s">
        <v>62</v>
      </c>
      <c r="B230" t="s">
        <v>155</v>
      </c>
      <c r="C230" s="29">
        <f>VLOOKUP(B230,[1]!Consulta1[#All],2,FALSE)</f>
        <v>39775</v>
      </c>
      <c r="E230">
        <v>100</v>
      </c>
      <c r="F230">
        <v>1.05</v>
      </c>
      <c r="G230">
        <v>1.05</v>
      </c>
      <c r="H230">
        <v>1.05</v>
      </c>
      <c r="I230">
        <v>0.95</v>
      </c>
      <c r="J230" t="s">
        <v>68</v>
      </c>
      <c r="K230">
        <v>0.75</v>
      </c>
      <c r="M230" s="29">
        <f>VLOOKUP(A230,[1]!Consulta1[#All],2,FALSE)</f>
        <v>123</v>
      </c>
      <c r="O230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('123','39775','8265','8299','4','100','1.05','&lt;p&gt;ITA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()&lt;/p&gt;',1,1,3,'1.05','1.05','0.95','0.85','0.75','2025-09-30',now(),now(),2,'0.1','1');</v>
      </c>
      <c r="P230" s="30">
        <v>0.1</v>
      </c>
    </row>
    <row r="231" spans="1:16" x14ac:dyDescent="0.2">
      <c r="A231" t="s">
        <v>62</v>
      </c>
      <c r="B231" t="s">
        <v>156</v>
      </c>
      <c r="C231" s="29">
        <f>VLOOKUP(B231,[1]!Consulta1[#All],2,FALSE)</f>
        <v>50842</v>
      </c>
      <c r="E231">
        <v>100</v>
      </c>
      <c r="F231">
        <v>1.05</v>
      </c>
      <c r="G231">
        <v>1.05</v>
      </c>
      <c r="H231">
        <v>1.05</v>
      </c>
      <c r="I231">
        <v>0.95</v>
      </c>
      <c r="J231" t="s">
        <v>68</v>
      </c>
      <c r="K231">
        <v>0.75</v>
      </c>
      <c r="M231" s="29">
        <f>VLOOKUP(A231,[1]!Consulta1[#All],2,FALSE)</f>
        <v>123</v>
      </c>
      <c r="O231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('123','50842','8265','8299','4','100','1.05','&lt;p&gt;ITA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()&lt;/p&gt;',1,1,3,'1.05','1.05','0.95','0.85','0.75','2025-09-30',now(),now(),2,'0.1','1');</v>
      </c>
      <c r="P231" s="30">
        <v>0.1</v>
      </c>
    </row>
    <row r="232" spans="1:16" x14ac:dyDescent="0.2">
      <c r="A232" t="s">
        <v>62</v>
      </c>
      <c r="B232" t="s">
        <v>157</v>
      </c>
      <c r="C232" s="29">
        <f>VLOOKUP(B232,[1]!Consulta1[#All],2,FALSE)</f>
        <v>50995</v>
      </c>
      <c r="E232">
        <v>100</v>
      </c>
      <c r="F232">
        <v>1.05</v>
      </c>
      <c r="G232">
        <v>1.05</v>
      </c>
      <c r="H232">
        <v>1.05</v>
      </c>
      <c r="I232">
        <v>0.95</v>
      </c>
      <c r="J232" t="s">
        <v>68</v>
      </c>
      <c r="K232">
        <v>0.75</v>
      </c>
      <c r="M232" s="29">
        <f>VLOOKUP(A232,[1]!Consulta1[#All],2,FALSE)</f>
        <v>123</v>
      </c>
      <c r="O232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('123','50995','8265','8299','4','100','1.05','&lt;p&gt;ITA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()&lt;/p&gt;',1,1,3,'1.05','1.05','0.95','0.85','0.75','2025-09-30',now(),now(),2,'0.1','1');</v>
      </c>
      <c r="P232" s="30">
        <v>0.1</v>
      </c>
    </row>
    <row r="233" spans="1:16" x14ac:dyDescent="0.2">
      <c r="A233" t="s">
        <v>62</v>
      </c>
      <c r="B233" t="s">
        <v>168</v>
      </c>
      <c r="C233" s="29">
        <f>VLOOKUP(B233,[1]!Consulta1[#All],2,FALSE)</f>
        <v>51007</v>
      </c>
      <c r="E233">
        <v>100</v>
      </c>
      <c r="F233">
        <v>1.05</v>
      </c>
      <c r="G233">
        <v>1.05</v>
      </c>
      <c r="H233">
        <v>1.05</v>
      </c>
      <c r="I233">
        <v>0.95</v>
      </c>
      <c r="J233" t="s">
        <v>68</v>
      </c>
      <c r="K233">
        <v>0.75</v>
      </c>
      <c r="M233" s="29">
        <f>VLOOKUP(A233,[1]!Consulta1[#All],2,FALSE)</f>
        <v>123</v>
      </c>
      <c r="O233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('123','51007','8265','8299','4','100','1.05','&lt;p&gt;ITA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()&lt;/p&gt;',1,1,3,'1.05','1.05','0.95','0.85','0.75','2025-09-30',now(),now(),2,'0.1','1');</v>
      </c>
      <c r="P233" s="30">
        <v>0.1</v>
      </c>
    </row>
    <row r="234" spans="1:16" x14ac:dyDescent="0.2">
      <c r="A234" t="s">
        <v>62</v>
      </c>
      <c r="B234" t="s">
        <v>158</v>
      </c>
      <c r="C234" s="29">
        <f>VLOOKUP(B234,[1]!Consulta1[#All],2,FALSE)</f>
        <v>50908</v>
      </c>
      <c r="E234">
        <v>100</v>
      </c>
      <c r="F234">
        <v>1.05</v>
      </c>
      <c r="G234">
        <v>1.05</v>
      </c>
      <c r="H234">
        <v>1.05</v>
      </c>
      <c r="I234">
        <v>0.95</v>
      </c>
      <c r="J234" t="s">
        <v>68</v>
      </c>
      <c r="K234">
        <v>0.75</v>
      </c>
      <c r="M234" s="29">
        <f>VLOOKUP(A234,[1]!Consulta1[#All],2,FALSE)</f>
        <v>123</v>
      </c>
      <c r="O234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('123','50908','8265','8299','4','100','1.05','&lt;p&gt;ITA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()&lt;/p&gt;',1,1,3,'1.05','1.05','0.95','0.85','0.75','2025-09-30',now(),now(),2,'0.1','1');</v>
      </c>
      <c r="P234" s="30">
        <v>0.1</v>
      </c>
    </row>
    <row r="235" spans="1:16" x14ac:dyDescent="0.2">
      <c r="A235" t="s">
        <v>62</v>
      </c>
      <c r="B235" t="s">
        <v>159</v>
      </c>
      <c r="C235" s="29">
        <f>VLOOKUP(B235,[1]!Consulta1[#All],2,FALSE)</f>
        <v>50909</v>
      </c>
      <c r="E235">
        <v>100</v>
      </c>
      <c r="F235">
        <v>1.05</v>
      </c>
      <c r="G235">
        <v>1.05</v>
      </c>
      <c r="H235">
        <v>1.05</v>
      </c>
      <c r="I235">
        <v>0.95</v>
      </c>
      <c r="J235" t="s">
        <v>68</v>
      </c>
      <c r="K235">
        <v>0.75</v>
      </c>
      <c r="M235" s="29">
        <f>VLOOKUP(A235,[1]!Consulta1[#All],2,FALSE)</f>
        <v>123</v>
      </c>
      <c r="O235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('123','50909','8265','8299','4','100','1.05','&lt;p&gt;ITA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()&lt;/p&gt;',1,1,3,'1.05','1.05','0.95','0.85','0.75','2025-09-30',now(),now(),2,'0.1','1');</v>
      </c>
      <c r="P235" s="30">
        <v>0.1</v>
      </c>
    </row>
    <row r="236" spans="1:16" x14ac:dyDescent="0.2">
      <c r="A236" t="s">
        <v>62</v>
      </c>
      <c r="B236" t="s">
        <v>160</v>
      </c>
      <c r="C236" s="29">
        <f>VLOOKUP(B236,[1]!Consulta1[#All],2,FALSE)</f>
        <v>39778</v>
      </c>
      <c r="E236">
        <v>100</v>
      </c>
      <c r="F236">
        <v>1.05</v>
      </c>
      <c r="G236">
        <v>1.05</v>
      </c>
      <c r="H236">
        <v>1.05</v>
      </c>
      <c r="I236">
        <v>0.95</v>
      </c>
      <c r="J236" t="s">
        <v>68</v>
      </c>
      <c r="K236">
        <v>0.75</v>
      </c>
      <c r="M236" s="29">
        <f>VLOOKUP(A236,[1]!Consulta1[#All],2,FALSE)</f>
        <v>123</v>
      </c>
      <c r="O236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('123','39778','8265','8299','4','100','1.05','&lt;p&gt;ITA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()&lt;/p&gt;',1,1,3,'1.05','1.05','0.95','0.85','0.75','2025-09-30',now(),now(),2,'0.1','1');</v>
      </c>
      <c r="P236" s="30">
        <v>0.1</v>
      </c>
    </row>
    <row r="237" spans="1:16" x14ac:dyDescent="0.2">
      <c r="A237" t="s">
        <v>62</v>
      </c>
      <c r="B237" t="s">
        <v>161</v>
      </c>
      <c r="C237" s="29">
        <f>VLOOKUP(B237,[1]!Consulta1[#All],2,FALSE)</f>
        <v>50914</v>
      </c>
      <c r="E237">
        <v>100</v>
      </c>
      <c r="F237">
        <v>1.05</v>
      </c>
      <c r="G237">
        <v>1.05</v>
      </c>
      <c r="H237">
        <v>1.05</v>
      </c>
      <c r="I237">
        <v>0.95</v>
      </c>
      <c r="J237" t="s">
        <v>68</v>
      </c>
      <c r="K237">
        <v>0.75</v>
      </c>
      <c r="M237" s="29">
        <f>VLOOKUP(A237,[1]!Consulta1[#All],2,FALSE)</f>
        <v>123</v>
      </c>
      <c r="O237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('123','50914','8265','8299','4','100','1.05','&lt;p&gt;ITA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()&lt;/p&gt;',1,1,3,'1.05','1.05','0.95','0.85','0.75','2025-09-30',now(),now(),2,'0.1','1');</v>
      </c>
      <c r="P237" s="30">
        <v>0.1</v>
      </c>
    </row>
    <row r="238" spans="1:16" x14ac:dyDescent="0.2">
      <c r="A238" t="s">
        <v>62</v>
      </c>
      <c r="B238" t="s">
        <v>162</v>
      </c>
      <c r="C238" s="29">
        <f>VLOOKUP(B238,[1]!Consulta1[#All],2,FALSE)</f>
        <v>51114</v>
      </c>
      <c r="E238">
        <v>100</v>
      </c>
      <c r="F238">
        <v>1.05</v>
      </c>
      <c r="G238">
        <v>1.05</v>
      </c>
      <c r="H238">
        <v>1.05</v>
      </c>
      <c r="I238">
        <v>0.95</v>
      </c>
      <c r="J238" t="s">
        <v>68</v>
      </c>
      <c r="K238">
        <v>0.75</v>
      </c>
      <c r="M238" s="29">
        <f>VLOOKUP(A238,[1]!Consulta1[#All],2,FALSE)</f>
        <v>123</v>
      </c>
      <c r="O238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('123','51114','8265','8299','4','100','1.05','&lt;p&gt;ITA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()&lt;/p&gt;',1,1,3,'1.05','1.05','0.95','0.85','0.75','2025-09-30',now(),now(),2,'0.1','1');</v>
      </c>
      <c r="P238" s="30">
        <v>0.1</v>
      </c>
    </row>
    <row r="239" spans="1:16" x14ac:dyDescent="0.2">
      <c r="A239" t="s">
        <v>62</v>
      </c>
      <c r="B239" t="s">
        <v>163</v>
      </c>
      <c r="C239" s="29">
        <f>VLOOKUP(B239,[1]!Consulta1[#All],2,FALSE)</f>
        <v>51120</v>
      </c>
      <c r="E239">
        <v>100</v>
      </c>
      <c r="F239">
        <v>1.05</v>
      </c>
      <c r="G239">
        <v>1.05</v>
      </c>
      <c r="H239">
        <v>1.05</v>
      </c>
      <c r="I239">
        <v>0.95</v>
      </c>
      <c r="J239" t="s">
        <v>68</v>
      </c>
      <c r="K239">
        <v>0.75</v>
      </c>
      <c r="M239" s="29">
        <f>VLOOKUP(A239,[1]!Consulta1[#All],2,FALSE)</f>
        <v>123</v>
      </c>
      <c r="O239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('123','51120','8265','8299','4','100','1.05','&lt;p&gt;ITA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()&lt;/p&gt;',1,1,3,'1.05','1.05','0.95','0.85','0.75','2025-09-30',now(),now(),2,'0.1','1');</v>
      </c>
      <c r="P239" s="30">
        <v>0.1</v>
      </c>
    </row>
    <row r="240" spans="1:16" x14ac:dyDescent="0.2">
      <c r="A240" t="s">
        <v>62</v>
      </c>
      <c r="B240" t="s">
        <v>164</v>
      </c>
      <c r="C240" s="29">
        <f>VLOOKUP(B240,[1]!Consulta1[#All],2,FALSE)</f>
        <v>51096</v>
      </c>
      <c r="E240">
        <v>100</v>
      </c>
      <c r="F240">
        <v>4.5</v>
      </c>
      <c r="G240">
        <v>3.8</v>
      </c>
      <c r="H240">
        <v>1.7</v>
      </c>
      <c r="I240">
        <v>1.7</v>
      </c>
      <c r="J240" t="s">
        <v>115</v>
      </c>
      <c r="K240">
        <v>1.5</v>
      </c>
      <c r="M240" s="29">
        <f>VLOOKUP(A240,[1]!Consulta1[#All],2,FALSE)</f>
        <v>123</v>
      </c>
      <c r="O240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('123','51096','8265','8299','4','100','4.5','&lt;p&gt;ITA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()&lt;/p&gt;',1,1,3,'3.8','1.7','1.7','1.6','1.5','2025-09-30',now(),now(),2,'0.1','1');</v>
      </c>
      <c r="P240" s="30">
        <v>0.1</v>
      </c>
    </row>
    <row r="241" spans="1:16" x14ac:dyDescent="0.2">
      <c r="A241" t="s">
        <v>62</v>
      </c>
      <c r="B241" t="s">
        <v>165</v>
      </c>
      <c r="C241" s="29">
        <f>VLOOKUP(B241,[1]!Consulta1[#All],2,FALSE)</f>
        <v>50922</v>
      </c>
      <c r="E241">
        <v>100</v>
      </c>
      <c r="F241">
        <v>4.5</v>
      </c>
      <c r="G241">
        <v>3.8</v>
      </c>
      <c r="H241">
        <v>1.7</v>
      </c>
      <c r="I241">
        <v>1.7</v>
      </c>
      <c r="J241" t="s">
        <v>115</v>
      </c>
      <c r="K241">
        <v>1.5</v>
      </c>
      <c r="M241" s="29">
        <f>VLOOKUP(A241,[1]!Consulta1[#All],2,FALSE)</f>
        <v>123</v>
      </c>
      <c r="O241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('123','50922','8265','8299','4','100','4.5','&lt;p&gt;ITA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()&lt;/p&gt;',1,1,3,'3.8','1.7','1.7','1.6','1.5','2025-09-30',now(),now(),2,'0.1','1');</v>
      </c>
      <c r="P241" s="30">
        <v>0.1</v>
      </c>
    </row>
    <row r="242" spans="1:16" x14ac:dyDescent="0.2">
      <c r="A242" t="s">
        <v>62</v>
      </c>
      <c r="B242" t="s">
        <v>54</v>
      </c>
      <c r="C242" s="29">
        <f>VLOOKUP(B242,[1]!Consulta1[#All],2,FALSE)</f>
        <v>51004</v>
      </c>
      <c r="E242">
        <v>100</v>
      </c>
      <c r="F242">
        <v>4.5</v>
      </c>
      <c r="G242">
        <v>3.8</v>
      </c>
      <c r="H242">
        <v>1.7</v>
      </c>
      <c r="I242">
        <v>1.7</v>
      </c>
      <c r="J242" t="s">
        <v>115</v>
      </c>
      <c r="K242">
        <v>1.5</v>
      </c>
      <c r="M242" s="29">
        <f>VLOOKUP(A242,[1]!Consulta1[#All],2,FALSE)</f>
        <v>123</v>
      </c>
      <c r="O242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('123','51004','8265','8299','4','100','4.5','&lt;p&gt;ITA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()&lt;/p&gt;',1,1,3,'3.8','1.7','1.7','1.6','1.5','2025-09-30',now(),now(),2,'0.1','1');</v>
      </c>
      <c r="P242" s="30">
        <v>0.1</v>
      </c>
    </row>
    <row r="243" spans="1:16" x14ac:dyDescent="0.2">
      <c r="A243" t="s">
        <v>62</v>
      </c>
      <c r="B243" t="s">
        <v>166</v>
      </c>
      <c r="C243" s="29">
        <f>VLOOKUP(B243,[1]!Consulta1[#All],2,FALSE)</f>
        <v>529</v>
      </c>
      <c r="E243">
        <v>100</v>
      </c>
      <c r="F243">
        <v>4.5</v>
      </c>
      <c r="G243">
        <v>3.8</v>
      </c>
      <c r="H243">
        <v>1.85</v>
      </c>
      <c r="I243">
        <v>1.75</v>
      </c>
      <c r="J243" t="s">
        <v>103</v>
      </c>
      <c r="K243">
        <v>1.45</v>
      </c>
      <c r="M243" s="29">
        <f>VLOOKUP(A243,[1]!Consulta1[#All],2,FALSE)</f>
        <v>123</v>
      </c>
      <c r="O243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('123','529','8265','8299','4','100','4.5','&lt;p&gt;ITA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()&lt;/p&gt;',1,1,3,'3.8','1.85','1.75','1.65','1.45','2025-09-30',now(),now(),2,'0.1','1');</v>
      </c>
      <c r="P243" s="30">
        <v>0.1</v>
      </c>
    </row>
    <row r="244" spans="1:16" x14ac:dyDescent="0.2">
      <c r="A244" t="s">
        <v>62</v>
      </c>
      <c r="B244" t="s">
        <v>167</v>
      </c>
      <c r="C244" s="29">
        <f>VLOOKUP(B244,[1]!Consulta1[#All],2,FALSE)</f>
        <v>50954</v>
      </c>
      <c r="E244">
        <v>100</v>
      </c>
      <c r="F244">
        <v>4.5</v>
      </c>
      <c r="G244">
        <v>3.8</v>
      </c>
      <c r="H244">
        <v>1.85</v>
      </c>
      <c r="I244">
        <v>1.75</v>
      </c>
      <c r="J244" t="s">
        <v>103</v>
      </c>
      <c r="K244">
        <v>1.45</v>
      </c>
      <c r="M244" s="29">
        <f>VLOOKUP(A244,[1]!Consulta1[#All],2,FALSE)</f>
        <v>123</v>
      </c>
      <c r="O244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('123','50954','8265','8299','4','100','4.5','&lt;p&gt;ITA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()&lt;/p&gt;',1,1,3,'3.8','1.85','1.75','1.65','1.45','2025-09-30',now(),now(),2,'0.1','1');</v>
      </c>
      <c r="P244" s="30">
        <v>0.1</v>
      </c>
    </row>
    <row r="245" spans="1:16" x14ac:dyDescent="0.2">
      <c r="A245" t="s">
        <v>62</v>
      </c>
      <c r="B245" t="s">
        <v>51</v>
      </c>
      <c r="C245" s="29">
        <f>VLOOKUP(B245,[1]!Consulta1[#All],2,FALSE)</f>
        <v>50830</v>
      </c>
      <c r="E245">
        <v>100</v>
      </c>
      <c r="F245">
        <v>4.5</v>
      </c>
      <c r="G245">
        <v>3.8</v>
      </c>
      <c r="H245">
        <v>1.7</v>
      </c>
      <c r="I245">
        <v>1.6</v>
      </c>
      <c r="J245" t="s">
        <v>79</v>
      </c>
      <c r="K245">
        <v>1.4</v>
      </c>
      <c r="M245" s="29">
        <f>VLOOKUP(A245,[1]!Consulta1[#All],2,FALSE)</f>
        <v>123</v>
      </c>
      <c r="O245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('123','50830','8265','8299','4','100','4.5','&lt;p&gt;ITA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()&lt;/p&gt;',1,1,3,'3.8','1.7','1.6','1.5','1.4','2025-09-30',now(),now(),2,'0.1','1');</v>
      </c>
      <c r="P245" s="30">
        <v>0.1</v>
      </c>
    </row>
    <row r="246" spans="1:16" x14ac:dyDescent="0.2">
      <c r="A246" t="s">
        <v>62</v>
      </c>
      <c r="B246" t="s">
        <v>52</v>
      </c>
      <c r="C246" s="29">
        <f>VLOOKUP(B246,[1]!Consulta1[#All],2,FALSE)</f>
        <v>39771</v>
      </c>
      <c r="E246">
        <v>100</v>
      </c>
      <c r="F246">
        <v>4.5</v>
      </c>
      <c r="G246">
        <v>3.8</v>
      </c>
      <c r="H246">
        <v>1.65</v>
      </c>
      <c r="I246">
        <v>1.55</v>
      </c>
      <c r="J246" t="s">
        <v>105</v>
      </c>
      <c r="K246">
        <v>1.35</v>
      </c>
      <c r="M246" s="29">
        <f>VLOOKUP(A246,[1]!Consulta1[#All],2,FALSE)</f>
        <v>123</v>
      </c>
      <c r="O246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('123','39771','8265','8299','4','100','4.5','&lt;p&gt;ITA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()&lt;/p&gt;',1,1,3,'3.8','1.65','1.55','1.45','1.35','2025-09-30',now(),now(),2,'0.1','1');</v>
      </c>
      <c r="P246" s="30">
        <v>0.1</v>
      </c>
    </row>
    <row r="247" spans="1:16" x14ac:dyDescent="0.2">
      <c r="A247" t="s">
        <v>169</v>
      </c>
      <c r="B247" t="s">
        <v>47</v>
      </c>
      <c r="C247" s="29">
        <f>VLOOKUP(B247,[1]!Consulta1[#All],2,FALSE)</f>
        <v>50961</v>
      </c>
      <c r="E247">
        <v>130</v>
      </c>
      <c r="F247">
        <v>2.89</v>
      </c>
      <c r="G247">
        <v>2.89</v>
      </c>
      <c r="H247">
        <v>0.87</v>
      </c>
      <c r="I247">
        <v>0.87</v>
      </c>
      <c r="J247" t="s">
        <v>125</v>
      </c>
      <c r="K247">
        <v>0.87</v>
      </c>
      <c r="M247" s="29">
        <f>VLOOKUP(A247,[1]!Consulta1[#All],2,FALSE)</f>
        <v>292</v>
      </c>
      <c r="O247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('292','50961','8265','8299','4','130','2.89','&lt;p&gt;ITA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()&lt;/p&gt;',1,1,3,'2.89','0.87','0.87','0.87','0.87','2025-09-30',now(),now(),2,'0.1','1');</v>
      </c>
      <c r="P247" s="30">
        <v>0.1</v>
      </c>
    </row>
    <row r="248" spans="1:16" x14ac:dyDescent="0.2">
      <c r="A248" t="s">
        <v>170</v>
      </c>
      <c r="B248" t="s">
        <v>47</v>
      </c>
      <c r="C248" s="29">
        <f>VLOOKUP(B248,[1]!Consulta1[#All],2,FALSE)</f>
        <v>50961</v>
      </c>
      <c r="E248">
        <v>130</v>
      </c>
      <c r="F248">
        <v>2.89</v>
      </c>
      <c r="G248">
        <v>2.89</v>
      </c>
      <c r="H248">
        <v>0.87</v>
      </c>
      <c r="I248">
        <v>0.87</v>
      </c>
      <c r="J248" t="s">
        <v>125</v>
      </c>
      <c r="K248">
        <v>0.87</v>
      </c>
      <c r="M248" s="29">
        <f>VLOOKUP(A248,[1]!Consulta1[#All],2,FALSE)</f>
        <v>162</v>
      </c>
      <c r="O248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('162','50961','8265','8299','4','130','2.89','&lt;p&gt;ITA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()&lt;/p&gt;',1,1,3,'2.89','0.87','0.87','0.87','0.87','2025-09-30',now(),now(),2,'0.1','1');</v>
      </c>
      <c r="P248" s="30">
        <v>0.1</v>
      </c>
    </row>
    <row r="249" spans="1:16" x14ac:dyDescent="0.2">
      <c r="A249" t="s">
        <v>169</v>
      </c>
      <c r="B249" t="s">
        <v>48</v>
      </c>
      <c r="C249" s="29">
        <f>VLOOKUP(B249,[1]!Consulta1[#All],2,FALSE)</f>
        <v>49720</v>
      </c>
      <c r="E249">
        <v>130</v>
      </c>
      <c r="F249">
        <v>2.89</v>
      </c>
      <c r="G249">
        <v>2.89</v>
      </c>
      <c r="H249">
        <v>1.05</v>
      </c>
      <c r="I249">
        <v>1.05</v>
      </c>
      <c r="J249" t="s">
        <v>72</v>
      </c>
      <c r="K249">
        <v>1.05</v>
      </c>
      <c r="M249" s="29">
        <f>VLOOKUP(A249,[1]!Consulta1[#All],2,FALSE)</f>
        <v>292</v>
      </c>
      <c r="O249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('292','49720','8265','8299','4','130','2.89','&lt;p&gt;ITA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()&lt;/p&gt;',1,1,3,'2.89','1.05','1.05','1.05','1.05','2025-09-30',now(),now(),2,'0.1','1');</v>
      </c>
      <c r="P249" s="30">
        <v>0.1</v>
      </c>
    </row>
    <row r="250" spans="1:16" x14ac:dyDescent="0.2">
      <c r="A250" t="s">
        <v>170</v>
      </c>
      <c r="B250" t="s">
        <v>48</v>
      </c>
      <c r="C250" s="29">
        <f>VLOOKUP(B250,[1]!Consulta1[#All],2,FALSE)</f>
        <v>49720</v>
      </c>
      <c r="E250">
        <v>130</v>
      </c>
      <c r="F250">
        <v>2.89</v>
      </c>
      <c r="G250">
        <v>2.89</v>
      </c>
      <c r="H250">
        <v>1.05</v>
      </c>
      <c r="I250">
        <v>1.05</v>
      </c>
      <c r="J250" t="s">
        <v>72</v>
      </c>
      <c r="K250">
        <v>1.05</v>
      </c>
      <c r="M250" s="29">
        <f>VLOOKUP(A250,[1]!Consulta1[#All],2,FALSE)</f>
        <v>162</v>
      </c>
      <c r="O250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('162','49720','8265','8299','4','130','2.89','&lt;p&gt;ITA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()&lt;/p&gt;',1,1,3,'2.89','1.05','1.05','1.05','1.05','2025-09-30',now(),now(),2,'0.1','1');</v>
      </c>
      <c r="P250" s="30">
        <v>0.1</v>
      </c>
    </row>
    <row r="251" spans="1:16" x14ac:dyDescent="0.2">
      <c r="A251" t="s">
        <v>169</v>
      </c>
      <c r="B251" t="s">
        <v>139</v>
      </c>
      <c r="C251" s="29">
        <f>VLOOKUP(B251,[1]!Consulta1[#All],2,FALSE)</f>
        <v>39776</v>
      </c>
      <c r="E251">
        <v>130</v>
      </c>
      <c r="F251">
        <v>4.5</v>
      </c>
      <c r="G251">
        <v>3.8</v>
      </c>
      <c r="H251">
        <v>1.8</v>
      </c>
      <c r="I251">
        <v>1.7</v>
      </c>
      <c r="J251" t="s">
        <v>115</v>
      </c>
      <c r="K251">
        <v>1.5</v>
      </c>
      <c r="M251" s="29">
        <f>VLOOKUP(A251,[1]!Consulta1[#All],2,FALSE)</f>
        <v>292</v>
      </c>
      <c r="O251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('292','39776','8265','8299','4','130','4.5','&lt;p&gt;ITA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()&lt;/p&gt;',1,1,3,'3.8','1.8','1.7','1.6','1.5','2025-09-30',now(),now(),2,'0.1','1');</v>
      </c>
      <c r="P251" s="30">
        <v>0.1</v>
      </c>
    </row>
    <row r="252" spans="1:16" x14ac:dyDescent="0.2">
      <c r="A252" t="s">
        <v>170</v>
      </c>
      <c r="B252" t="s">
        <v>139</v>
      </c>
      <c r="C252" s="29">
        <f>VLOOKUP(B252,[1]!Consulta1[#All],2,FALSE)</f>
        <v>39776</v>
      </c>
      <c r="E252">
        <v>130</v>
      </c>
      <c r="F252">
        <v>4.5</v>
      </c>
      <c r="G252">
        <v>3.8</v>
      </c>
      <c r="H252">
        <v>1.8</v>
      </c>
      <c r="I252">
        <v>1.7</v>
      </c>
      <c r="J252" t="s">
        <v>115</v>
      </c>
      <c r="K252">
        <v>1.5</v>
      </c>
      <c r="M252" s="29">
        <f>VLOOKUP(A252,[1]!Consulta1[#All],2,FALSE)</f>
        <v>162</v>
      </c>
      <c r="O252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('162','39776','8265','8299','4','130','4.5','&lt;p&gt;ITA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()&lt;/p&gt;',1,1,3,'3.8','1.8','1.7','1.6','1.5','2025-09-30',now(),now(),2,'0.1','1');</v>
      </c>
      <c r="P252" s="30">
        <v>0.1</v>
      </c>
    </row>
    <row r="253" spans="1:16" x14ac:dyDescent="0.2">
      <c r="A253" t="s">
        <v>169</v>
      </c>
      <c r="B253" t="s">
        <v>140</v>
      </c>
      <c r="C253" s="29">
        <f>VLOOKUP(B253,[1]!Consulta1[#All],2,FALSE)</f>
        <v>50708</v>
      </c>
      <c r="E253">
        <v>130</v>
      </c>
      <c r="F253">
        <v>4.5</v>
      </c>
      <c r="G253">
        <v>3.8</v>
      </c>
      <c r="H253">
        <v>1.8</v>
      </c>
      <c r="I253">
        <v>1.7</v>
      </c>
      <c r="J253" t="s">
        <v>115</v>
      </c>
      <c r="K253">
        <v>1.5</v>
      </c>
      <c r="M253" s="29">
        <f>VLOOKUP(A253,[1]!Consulta1[#All],2,FALSE)</f>
        <v>292</v>
      </c>
      <c r="O253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('292','50708','8265','8299','4','130','4.5','&lt;p&gt;ITA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()&lt;/p&gt;',1,1,3,'3.8','1.8','1.7','1.6','1.5','2025-09-30',now(),now(),2,'0.1','1');</v>
      </c>
      <c r="P253" s="30">
        <v>0.1</v>
      </c>
    </row>
    <row r="254" spans="1:16" x14ac:dyDescent="0.2">
      <c r="A254" t="s">
        <v>170</v>
      </c>
      <c r="B254" t="s">
        <v>140</v>
      </c>
      <c r="C254" s="29">
        <f>VLOOKUP(B254,[1]!Consulta1[#All],2,FALSE)</f>
        <v>50708</v>
      </c>
      <c r="E254">
        <v>130</v>
      </c>
      <c r="F254">
        <v>4.5</v>
      </c>
      <c r="G254">
        <v>3.8</v>
      </c>
      <c r="H254">
        <v>1.8</v>
      </c>
      <c r="I254">
        <v>1.7</v>
      </c>
      <c r="J254" t="s">
        <v>115</v>
      </c>
      <c r="K254">
        <v>1.5</v>
      </c>
      <c r="M254" s="29">
        <f>VLOOKUP(A254,[1]!Consulta1[#All],2,FALSE)</f>
        <v>162</v>
      </c>
      <c r="O254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('162','50708','8265','8299','4','130','4.5','&lt;p&gt;ITA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()&lt;/p&gt;',1,1,3,'3.8','1.8','1.7','1.6','1.5','2025-09-30',now(),now(),2,'0.1','1');</v>
      </c>
      <c r="P254" s="30">
        <v>0.1</v>
      </c>
    </row>
    <row r="255" spans="1:16" x14ac:dyDescent="0.2">
      <c r="A255" t="s">
        <v>169</v>
      </c>
      <c r="B255" t="s">
        <v>49</v>
      </c>
      <c r="C255" s="29">
        <f>VLOOKUP(B255,[1]!Consulta1[#All],2,FALSE)</f>
        <v>50688</v>
      </c>
      <c r="E255">
        <v>130</v>
      </c>
      <c r="F255">
        <v>4.5</v>
      </c>
      <c r="G255">
        <v>3.8</v>
      </c>
      <c r="H255">
        <v>2.8</v>
      </c>
      <c r="I255">
        <v>2.7</v>
      </c>
      <c r="J255" t="s">
        <v>85</v>
      </c>
      <c r="K255">
        <v>2.5</v>
      </c>
      <c r="M255" s="29">
        <f>VLOOKUP(A255,[1]!Consulta1[#All],2,FALSE)</f>
        <v>292</v>
      </c>
      <c r="O255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('292','50688','8265','8299','4','130','4.5','&lt;p&gt;ITA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()&lt;/p&gt;',1,1,3,'3.8','2.8','2.7','2.6','2.5','2025-09-30',now(),now(),2,'0.1','1');</v>
      </c>
      <c r="P255" s="30">
        <v>0.1</v>
      </c>
    </row>
    <row r="256" spans="1:16" x14ac:dyDescent="0.2">
      <c r="A256" t="s">
        <v>170</v>
      </c>
      <c r="B256" t="s">
        <v>49</v>
      </c>
      <c r="C256" s="29">
        <f>VLOOKUP(B256,[1]!Consulta1[#All],2,FALSE)</f>
        <v>50688</v>
      </c>
      <c r="E256">
        <v>130</v>
      </c>
      <c r="F256">
        <v>4.5</v>
      </c>
      <c r="G256">
        <v>3.8</v>
      </c>
      <c r="H256">
        <v>2.8</v>
      </c>
      <c r="I256">
        <v>2.7</v>
      </c>
      <c r="J256" t="s">
        <v>85</v>
      </c>
      <c r="K256">
        <v>2.5</v>
      </c>
      <c r="M256" s="29">
        <f>VLOOKUP(A256,[1]!Consulta1[#All],2,FALSE)</f>
        <v>162</v>
      </c>
      <c r="O256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('162','50688','8265','8299','4','130','4.5','&lt;p&gt;ITA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()&lt;/p&gt;',1,1,3,'3.8','2.8','2.7','2.6','2.5','2025-09-30',now(),now(),2,'0.1','1');</v>
      </c>
      <c r="P256" s="30">
        <v>0.1</v>
      </c>
    </row>
    <row r="257" spans="1:16" x14ac:dyDescent="0.2">
      <c r="A257" t="s">
        <v>169</v>
      </c>
      <c r="B257" t="s">
        <v>50</v>
      </c>
      <c r="C257" s="29">
        <f>VLOOKUP(B257,[1]!Consulta1[#All],2,FALSE)</f>
        <v>50891</v>
      </c>
      <c r="E257">
        <v>130</v>
      </c>
      <c r="F257">
        <v>4.5</v>
      </c>
      <c r="G257">
        <v>3.8</v>
      </c>
      <c r="H257">
        <v>2.2999999999999998</v>
      </c>
      <c r="I257">
        <v>2.2000000000000002</v>
      </c>
      <c r="J257" t="s">
        <v>89</v>
      </c>
      <c r="K257">
        <v>2</v>
      </c>
      <c r="M257" s="29">
        <f>VLOOKUP(A257,[1]!Consulta1[#All],2,FALSE)</f>
        <v>292</v>
      </c>
      <c r="O257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('292','50891','8265','8299','4','130','4.5','&lt;p&gt;ITA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()&lt;/p&gt;',1,1,3,'3.8','2.3','2.2','2.1','2','2025-09-30',now(),now(),2,'0.1','1');</v>
      </c>
      <c r="P257" s="30">
        <v>0.1</v>
      </c>
    </row>
    <row r="258" spans="1:16" x14ac:dyDescent="0.2">
      <c r="A258" t="s">
        <v>170</v>
      </c>
      <c r="B258" t="s">
        <v>50</v>
      </c>
      <c r="C258" s="29">
        <f>VLOOKUP(B258,[1]!Consulta1[#All],2,FALSE)</f>
        <v>50891</v>
      </c>
      <c r="E258">
        <v>130</v>
      </c>
      <c r="F258">
        <v>4.5</v>
      </c>
      <c r="G258">
        <v>3.8</v>
      </c>
      <c r="H258">
        <v>2.2999999999999998</v>
      </c>
      <c r="I258">
        <v>2.2000000000000002</v>
      </c>
      <c r="J258" t="s">
        <v>89</v>
      </c>
      <c r="K258">
        <v>2</v>
      </c>
      <c r="M258" s="29">
        <f>VLOOKUP(A258,[1]!Consulta1[#All],2,FALSE)</f>
        <v>162</v>
      </c>
      <c r="O258" s="29" t="str">
        <f t="shared" si="3"/>
        <v>insert tariffs (origin_id,destin_id,provider_id,airline_id,comodity_id,min,n,comments,active,user_id,type_tariff,forty_five_more,hundred_more,three_hundred_more,five_hundred_more,thousand_more,f_end,created_at,updated_at,airchaft,cost, offer) values ('162','50891','8265','8299','4','130','4.5','&lt;p&gt;ITA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()&lt;/p&gt;',1,1,3,'3.8','2.3','2.2','2.1','2','2025-09-30',now(),now(),2,'0.1','1');</v>
      </c>
      <c r="P258" s="30">
        <v>0.1</v>
      </c>
    </row>
    <row r="259" spans="1:16" x14ac:dyDescent="0.2">
      <c r="A259" t="s">
        <v>169</v>
      </c>
      <c r="B259" t="s">
        <v>141</v>
      </c>
      <c r="C259" s="29">
        <f>VLOOKUP(B259,[1]!Consulta1[#All],2,FALSE)</f>
        <v>50977</v>
      </c>
      <c r="E259">
        <v>130</v>
      </c>
      <c r="F259">
        <v>2.89</v>
      </c>
      <c r="G259">
        <v>2.89</v>
      </c>
      <c r="H259">
        <v>1.4</v>
      </c>
      <c r="I259">
        <v>1.3</v>
      </c>
      <c r="J259" t="s">
        <v>82</v>
      </c>
      <c r="K259">
        <v>1.1000000000000001</v>
      </c>
      <c r="M259" s="29">
        <f>VLOOKUP(A259,[1]!Consulta1[#All],2,FALSE)</f>
        <v>292</v>
      </c>
      <c r="O259" s="29" t="str">
        <f t="shared" ref="O259:O322" si="4">CONCATENATE("insert tariffs (origin_id,destin_id,provider_id,airline_id,comodity_id,min,n,comments,active,user_id,type_tariff,forty_five_more,hundred_more,three_hundred_more,five_hundred_more,thousand_more,f_end,created_at,updated_at,airchaft,cost, offer) values ('",M259,"','",C259,"','8265','8299','",$N$2,"','",E259,"','",F259,"','",$L$2,"',1,1,3,'",G259,"','",H259,"','",I259,"','",J259,"','",K259,"','2025-09-30',now(),now(),2,'",P259,"','1');")</f>
        <v>insert tariffs (origin_id,destin_id,provider_id,airline_id,comodity_id,min,n,comments,active,user_id,type_tariff,forty_five_more,hundred_more,three_hundred_more,five_hundred_more,thousand_more,f_end,created_at,updated_at,airchaft,cost, offer) values ('292','50977','8265','8299','4','130','2.89','&lt;p&gt;ITA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()&lt;/p&gt;',1,1,3,'2.89','1.4','1.3','1.2','1.1','2025-09-30',now(),now(),2,'0.1','1');</v>
      </c>
      <c r="P259" s="30">
        <v>0.1</v>
      </c>
    </row>
    <row r="260" spans="1:16" x14ac:dyDescent="0.2">
      <c r="A260" t="s">
        <v>170</v>
      </c>
      <c r="B260" t="s">
        <v>141</v>
      </c>
      <c r="C260" s="29">
        <f>VLOOKUP(B260,[1]!Consulta1[#All],2,FALSE)</f>
        <v>50977</v>
      </c>
      <c r="E260">
        <v>130</v>
      </c>
      <c r="F260">
        <v>2.89</v>
      </c>
      <c r="G260">
        <v>2.89</v>
      </c>
      <c r="H260">
        <v>1.4</v>
      </c>
      <c r="I260">
        <v>1.3</v>
      </c>
      <c r="J260" t="s">
        <v>82</v>
      </c>
      <c r="K260">
        <v>1.1000000000000001</v>
      </c>
      <c r="M260" s="29">
        <f>VLOOKUP(A260,[1]!Consulta1[#All],2,FALSE)</f>
        <v>162</v>
      </c>
      <c r="O260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('162','50977','8265','8299','4','130','2.89','&lt;p&gt;ITA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()&lt;/p&gt;',1,1,3,'2.89','1.4','1.3','1.2','1.1','2025-09-30',now(),now(),2,'0.1','1');</v>
      </c>
      <c r="P260" s="30">
        <v>0.1</v>
      </c>
    </row>
    <row r="261" spans="1:16" x14ac:dyDescent="0.2">
      <c r="A261" t="s">
        <v>169</v>
      </c>
      <c r="B261" t="s">
        <v>142</v>
      </c>
      <c r="C261" s="29">
        <f>VLOOKUP(B261,[1]!Consulta1[#All],2,FALSE)</f>
        <v>51126</v>
      </c>
      <c r="E261">
        <v>130</v>
      </c>
      <c r="F261">
        <v>2.89</v>
      </c>
      <c r="G261">
        <v>2.89</v>
      </c>
      <c r="H261">
        <v>1.4</v>
      </c>
      <c r="I261">
        <v>1.3</v>
      </c>
      <c r="J261" t="s">
        <v>82</v>
      </c>
      <c r="K261">
        <v>1.1000000000000001</v>
      </c>
      <c r="M261" s="29">
        <f>VLOOKUP(A261,[1]!Consulta1[#All],2,FALSE)</f>
        <v>292</v>
      </c>
      <c r="O261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('292','51126','8265','8299','4','130','2.89','&lt;p&gt;ITA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()&lt;/p&gt;',1,1,3,'2.89','1.4','1.3','1.2','1.1','2025-09-30',now(),now(),2,'0.1','1');</v>
      </c>
      <c r="P261" s="30">
        <v>0.1</v>
      </c>
    </row>
    <row r="262" spans="1:16" x14ac:dyDescent="0.2">
      <c r="A262" t="s">
        <v>170</v>
      </c>
      <c r="B262" t="s">
        <v>142</v>
      </c>
      <c r="C262" s="29">
        <f>VLOOKUP(B262,[1]!Consulta1[#All],2,FALSE)</f>
        <v>51126</v>
      </c>
      <c r="E262">
        <v>130</v>
      </c>
      <c r="F262">
        <v>2.89</v>
      </c>
      <c r="G262">
        <v>2.89</v>
      </c>
      <c r="H262">
        <v>1.4</v>
      </c>
      <c r="I262">
        <v>1.3</v>
      </c>
      <c r="J262" t="s">
        <v>82</v>
      </c>
      <c r="K262">
        <v>1.1000000000000001</v>
      </c>
      <c r="M262" s="29">
        <f>VLOOKUP(A262,[1]!Consulta1[#All],2,FALSE)</f>
        <v>162</v>
      </c>
      <c r="O262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('162','51126','8265','8299','4','130','2.89','&lt;p&gt;ITA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()&lt;/p&gt;',1,1,3,'2.89','1.4','1.3','1.2','1.1','2025-09-30',now(),now(),2,'0.1','1');</v>
      </c>
      <c r="P262" s="30">
        <v>0.1</v>
      </c>
    </row>
    <row r="263" spans="1:16" x14ac:dyDescent="0.2">
      <c r="A263" t="s">
        <v>169</v>
      </c>
      <c r="B263" t="s">
        <v>143</v>
      </c>
      <c r="C263" s="29">
        <f>VLOOKUP(B263,[1]!Consulta1[#All],2,FALSE)</f>
        <v>50969</v>
      </c>
      <c r="E263">
        <v>130</v>
      </c>
      <c r="F263">
        <v>2.89</v>
      </c>
      <c r="G263">
        <v>2.89</v>
      </c>
      <c r="H263">
        <v>1.4</v>
      </c>
      <c r="I263">
        <v>1.3</v>
      </c>
      <c r="J263" t="s">
        <v>82</v>
      </c>
      <c r="K263">
        <v>1.1000000000000001</v>
      </c>
      <c r="M263" s="29">
        <f>VLOOKUP(A263,[1]!Consulta1[#All],2,FALSE)</f>
        <v>292</v>
      </c>
      <c r="O263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('292','50969','8265','8299','4','130','2.89','&lt;p&gt;ITA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()&lt;/p&gt;',1,1,3,'2.89','1.4','1.3','1.2','1.1','2025-09-30',now(),now(),2,'0.1','1');</v>
      </c>
      <c r="P263" s="30">
        <v>0.1</v>
      </c>
    </row>
    <row r="264" spans="1:16" x14ac:dyDescent="0.2">
      <c r="A264" t="s">
        <v>170</v>
      </c>
      <c r="B264" t="s">
        <v>143</v>
      </c>
      <c r="C264" s="29">
        <f>VLOOKUP(B264,[1]!Consulta1[#All],2,FALSE)</f>
        <v>50969</v>
      </c>
      <c r="E264">
        <v>130</v>
      </c>
      <c r="F264">
        <v>2.89</v>
      </c>
      <c r="G264">
        <v>2.89</v>
      </c>
      <c r="H264">
        <v>1.4</v>
      </c>
      <c r="I264">
        <v>1.3</v>
      </c>
      <c r="J264" t="s">
        <v>82</v>
      </c>
      <c r="K264">
        <v>1.1000000000000001</v>
      </c>
      <c r="M264" s="29">
        <f>VLOOKUP(A264,[1]!Consulta1[#All],2,FALSE)</f>
        <v>162</v>
      </c>
      <c r="O264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('162','50969','8265','8299','4','130','2.89','&lt;p&gt;ITA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()&lt;/p&gt;',1,1,3,'2.89','1.4','1.3','1.2','1.1','2025-09-30',now(),now(),2,'0.1','1');</v>
      </c>
      <c r="P264" s="30">
        <v>0.1</v>
      </c>
    </row>
    <row r="265" spans="1:16" x14ac:dyDescent="0.2">
      <c r="A265" t="s">
        <v>169</v>
      </c>
      <c r="B265" t="s">
        <v>144</v>
      </c>
      <c r="C265" s="29">
        <f>VLOOKUP(B265,[1]!Consulta1[#All],2,FALSE)</f>
        <v>50970</v>
      </c>
      <c r="E265">
        <v>130</v>
      </c>
      <c r="F265">
        <v>2.89</v>
      </c>
      <c r="G265">
        <v>2.89</v>
      </c>
      <c r="H265">
        <v>1.4</v>
      </c>
      <c r="I265">
        <v>1.3</v>
      </c>
      <c r="J265" t="s">
        <v>82</v>
      </c>
      <c r="K265">
        <v>1.1000000000000001</v>
      </c>
      <c r="M265" s="29">
        <f>VLOOKUP(A265,[1]!Consulta1[#All],2,FALSE)</f>
        <v>292</v>
      </c>
      <c r="O265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('292','50970','8265','8299','4','130','2.89','&lt;p&gt;ITA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()&lt;/p&gt;',1,1,3,'2.89','1.4','1.3','1.2','1.1','2025-09-30',now(),now(),2,'0.1','1');</v>
      </c>
      <c r="P265" s="30">
        <v>0.1</v>
      </c>
    </row>
    <row r="266" spans="1:16" x14ac:dyDescent="0.2">
      <c r="A266" t="s">
        <v>170</v>
      </c>
      <c r="B266" t="s">
        <v>144</v>
      </c>
      <c r="C266" s="29">
        <f>VLOOKUP(B266,[1]!Consulta1[#All],2,FALSE)</f>
        <v>50970</v>
      </c>
      <c r="E266">
        <v>130</v>
      </c>
      <c r="F266">
        <v>2.89</v>
      </c>
      <c r="G266">
        <v>2.89</v>
      </c>
      <c r="H266">
        <v>1.4</v>
      </c>
      <c r="I266">
        <v>1.3</v>
      </c>
      <c r="J266" t="s">
        <v>82</v>
      </c>
      <c r="K266">
        <v>1.1000000000000001</v>
      </c>
      <c r="M266" s="29">
        <f>VLOOKUP(A266,[1]!Consulta1[#All],2,FALSE)</f>
        <v>162</v>
      </c>
      <c r="O266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('162','50970','8265','8299','4','130','2.89','&lt;p&gt;ITA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()&lt;/p&gt;',1,1,3,'2.89','1.4','1.3','1.2','1.1','2025-09-30',now(),now(),2,'0.1','1');</v>
      </c>
      <c r="P266" s="30">
        <v>0.1</v>
      </c>
    </row>
    <row r="267" spans="1:16" x14ac:dyDescent="0.2">
      <c r="A267" t="s">
        <v>169</v>
      </c>
      <c r="B267" t="s">
        <v>145</v>
      </c>
      <c r="C267" s="29">
        <f>VLOOKUP(B267,[1]!Consulta1[#All],2,FALSE)</f>
        <v>50972</v>
      </c>
      <c r="E267">
        <v>130</v>
      </c>
      <c r="F267">
        <v>2.89</v>
      </c>
      <c r="G267">
        <v>2.89</v>
      </c>
      <c r="H267">
        <v>1.4</v>
      </c>
      <c r="I267">
        <v>1.3</v>
      </c>
      <c r="J267" t="s">
        <v>82</v>
      </c>
      <c r="K267">
        <v>1.1000000000000001</v>
      </c>
      <c r="M267" s="29">
        <f>VLOOKUP(A267,[1]!Consulta1[#All],2,FALSE)</f>
        <v>292</v>
      </c>
      <c r="O267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('292','50972','8265','8299','4','130','2.89','&lt;p&gt;ITA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()&lt;/p&gt;',1,1,3,'2.89','1.4','1.3','1.2','1.1','2025-09-30',now(),now(),2,'0.1','1');</v>
      </c>
      <c r="P267" s="30">
        <v>0.1</v>
      </c>
    </row>
    <row r="268" spans="1:16" x14ac:dyDescent="0.2">
      <c r="A268" t="s">
        <v>170</v>
      </c>
      <c r="B268" t="s">
        <v>145</v>
      </c>
      <c r="C268" s="29">
        <f>VLOOKUP(B268,[1]!Consulta1[#All],2,FALSE)</f>
        <v>50972</v>
      </c>
      <c r="E268">
        <v>130</v>
      </c>
      <c r="F268">
        <v>2.89</v>
      </c>
      <c r="G268">
        <v>2.89</v>
      </c>
      <c r="H268">
        <v>1.4</v>
      </c>
      <c r="I268">
        <v>1.3</v>
      </c>
      <c r="J268" t="s">
        <v>82</v>
      </c>
      <c r="K268">
        <v>1.1000000000000001</v>
      </c>
      <c r="M268" s="29">
        <f>VLOOKUP(A268,[1]!Consulta1[#All],2,FALSE)</f>
        <v>162</v>
      </c>
      <c r="O268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('162','50972','8265','8299','4','130','2.89','&lt;p&gt;ITA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()&lt;/p&gt;',1,1,3,'2.89','1.4','1.3','1.2','1.1','2025-09-30',now(),now(),2,'0.1','1');</v>
      </c>
      <c r="P268" s="30">
        <v>0.1</v>
      </c>
    </row>
    <row r="269" spans="1:16" x14ac:dyDescent="0.2">
      <c r="A269" t="s">
        <v>169</v>
      </c>
      <c r="B269" t="s">
        <v>146</v>
      </c>
      <c r="C269" s="29">
        <f>VLOOKUP(B269,[1]!Consulta1[#All],2,FALSE)</f>
        <v>51381</v>
      </c>
      <c r="E269">
        <v>130</v>
      </c>
      <c r="F269">
        <v>2.89</v>
      </c>
      <c r="G269">
        <v>2.89</v>
      </c>
      <c r="H269">
        <v>1.4</v>
      </c>
      <c r="I269">
        <v>1.3</v>
      </c>
      <c r="J269" t="s">
        <v>82</v>
      </c>
      <c r="K269">
        <v>1.1000000000000001</v>
      </c>
      <c r="M269" s="29">
        <f>VLOOKUP(A269,[1]!Consulta1[#All],2,FALSE)</f>
        <v>292</v>
      </c>
      <c r="O269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('292','51381','8265','8299','4','130','2.89','&lt;p&gt;ITA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()&lt;/p&gt;',1,1,3,'2.89','1.4','1.3','1.2','1.1','2025-09-30',now(),now(),2,'0.1','1');</v>
      </c>
      <c r="P269" s="30">
        <v>0.1</v>
      </c>
    </row>
    <row r="270" spans="1:16" x14ac:dyDescent="0.2">
      <c r="A270" t="s">
        <v>170</v>
      </c>
      <c r="B270" t="s">
        <v>146</v>
      </c>
      <c r="C270" s="29">
        <f>VLOOKUP(B270,[1]!Consulta1[#All],2,FALSE)</f>
        <v>51381</v>
      </c>
      <c r="E270">
        <v>130</v>
      </c>
      <c r="F270">
        <v>2.89</v>
      </c>
      <c r="G270">
        <v>2.89</v>
      </c>
      <c r="H270">
        <v>1.4</v>
      </c>
      <c r="I270">
        <v>1.3</v>
      </c>
      <c r="J270" t="s">
        <v>82</v>
      </c>
      <c r="K270">
        <v>1.1000000000000001</v>
      </c>
      <c r="M270" s="29">
        <f>VLOOKUP(A270,[1]!Consulta1[#All],2,FALSE)</f>
        <v>162</v>
      </c>
      <c r="O270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('162','51381','8265','8299','4','130','2.89','&lt;p&gt;ITA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()&lt;/p&gt;',1,1,3,'2.89','1.4','1.3','1.2','1.1','2025-09-30',now(),now(),2,'0.1','1');</v>
      </c>
      <c r="P270" s="30">
        <v>0.1</v>
      </c>
    </row>
    <row r="271" spans="1:16" x14ac:dyDescent="0.2">
      <c r="A271" t="s">
        <v>169</v>
      </c>
      <c r="B271" t="s">
        <v>147</v>
      </c>
      <c r="C271" s="29">
        <f>VLOOKUP(B271,[1]!Consulta1[#All],2,FALSE)</f>
        <v>51285</v>
      </c>
      <c r="E271">
        <v>130</v>
      </c>
      <c r="F271">
        <v>2.89</v>
      </c>
      <c r="G271">
        <v>2.89</v>
      </c>
      <c r="H271">
        <v>1.4</v>
      </c>
      <c r="I271">
        <v>1.3</v>
      </c>
      <c r="J271" t="s">
        <v>82</v>
      </c>
      <c r="K271">
        <v>1.1000000000000001</v>
      </c>
      <c r="M271" s="29">
        <f>VLOOKUP(A271,[1]!Consulta1[#All],2,FALSE)</f>
        <v>292</v>
      </c>
      <c r="O271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('292','51285','8265','8299','4','130','2.89','&lt;p&gt;ITA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()&lt;/p&gt;',1,1,3,'2.89','1.4','1.3','1.2','1.1','2025-09-30',now(),now(),2,'0.1','1');</v>
      </c>
      <c r="P271" s="30">
        <v>0.1</v>
      </c>
    </row>
    <row r="272" spans="1:16" x14ac:dyDescent="0.2">
      <c r="A272" t="s">
        <v>170</v>
      </c>
      <c r="B272" t="s">
        <v>147</v>
      </c>
      <c r="C272" s="29">
        <f>VLOOKUP(B272,[1]!Consulta1[#All],2,FALSE)</f>
        <v>51285</v>
      </c>
      <c r="E272">
        <v>130</v>
      </c>
      <c r="F272">
        <v>2.89</v>
      </c>
      <c r="G272">
        <v>2.89</v>
      </c>
      <c r="H272">
        <v>1.4</v>
      </c>
      <c r="I272">
        <v>1.3</v>
      </c>
      <c r="J272" t="s">
        <v>82</v>
      </c>
      <c r="K272">
        <v>1.1000000000000001</v>
      </c>
      <c r="M272" s="29">
        <f>VLOOKUP(A272,[1]!Consulta1[#All],2,FALSE)</f>
        <v>162</v>
      </c>
      <c r="O272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('162','51285','8265','8299','4','130','2.89','&lt;p&gt;ITA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()&lt;/p&gt;',1,1,3,'2.89','1.4','1.3','1.2','1.1','2025-09-30',now(),now(),2,'0.1','1');</v>
      </c>
      <c r="P272" s="30">
        <v>0.1</v>
      </c>
    </row>
    <row r="273" spans="1:16" x14ac:dyDescent="0.2">
      <c r="A273" t="s">
        <v>169</v>
      </c>
      <c r="B273" t="s">
        <v>148</v>
      </c>
      <c r="C273" s="29">
        <f>VLOOKUP(B273,[1]!Consulta1[#All],2,FALSE)</f>
        <v>51147</v>
      </c>
      <c r="E273">
        <v>130</v>
      </c>
      <c r="F273">
        <v>2.89</v>
      </c>
      <c r="G273">
        <v>2.89</v>
      </c>
      <c r="H273">
        <v>1.4</v>
      </c>
      <c r="I273">
        <v>1.3</v>
      </c>
      <c r="J273" t="s">
        <v>82</v>
      </c>
      <c r="K273">
        <v>1.1000000000000001</v>
      </c>
      <c r="M273" s="29">
        <f>VLOOKUP(A273,[1]!Consulta1[#All],2,FALSE)</f>
        <v>292</v>
      </c>
      <c r="O273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('292','51147','8265','8299','4','130','2.89','&lt;p&gt;ITA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()&lt;/p&gt;',1,1,3,'2.89','1.4','1.3','1.2','1.1','2025-09-30',now(),now(),2,'0.1','1');</v>
      </c>
      <c r="P273" s="30">
        <v>0.1</v>
      </c>
    </row>
    <row r="274" spans="1:16" x14ac:dyDescent="0.2">
      <c r="A274" t="s">
        <v>170</v>
      </c>
      <c r="B274" t="s">
        <v>148</v>
      </c>
      <c r="C274" s="29">
        <f>VLOOKUP(B274,[1]!Consulta1[#All],2,FALSE)</f>
        <v>51147</v>
      </c>
      <c r="E274">
        <v>130</v>
      </c>
      <c r="F274">
        <v>2.89</v>
      </c>
      <c r="G274">
        <v>2.89</v>
      </c>
      <c r="H274">
        <v>1.4</v>
      </c>
      <c r="I274">
        <v>1.3</v>
      </c>
      <c r="J274" t="s">
        <v>82</v>
      </c>
      <c r="K274">
        <v>1.1000000000000001</v>
      </c>
      <c r="M274" s="29">
        <f>VLOOKUP(A274,[1]!Consulta1[#All],2,FALSE)</f>
        <v>162</v>
      </c>
      <c r="O274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('162','51147','8265','8299','4','130','2.89','&lt;p&gt;ITA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()&lt;/p&gt;',1,1,3,'2.89','1.4','1.3','1.2','1.1','2025-09-30',now(),now(),2,'0.1','1');</v>
      </c>
      <c r="P274" s="30">
        <v>0.1</v>
      </c>
    </row>
    <row r="275" spans="1:16" x14ac:dyDescent="0.2">
      <c r="A275" t="s">
        <v>169</v>
      </c>
      <c r="B275" t="s">
        <v>150</v>
      </c>
      <c r="C275" s="29">
        <f>VLOOKUP(B275,[1]!Consulta1[#All],2,FALSE)</f>
        <v>51286</v>
      </c>
      <c r="E275">
        <v>130</v>
      </c>
      <c r="F275">
        <v>2.89</v>
      </c>
      <c r="G275">
        <v>2.89</v>
      </c>
      <c r="H275">
        <v>1.4</v>
      </c>
      <c r="I275">
        <v>1.3</v>
      </c>
      <c r="J275" t="s">
        <v>82</v>
      </c>
      <c r="K275">
        <v>1.1000000000000001</v>
      </c>
      <c r="M275" s="29">
        <f>VLOOKUP(A275,[1]!Consulta1[#All],2,FALSE)</f>
        <v>292</v>
      </c>
      <c r="O275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('292','51286','8265','8299','4','130','2.89','&lt;p&gt;ITA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()&lt;/p&gt;',1,1,3,'2.89','1.4','1.3','1.2','1.1','2025-09-30',now(),now(),2,'0.1','1');</v>
      </c>
      <c r="P275" s="30">
        <v>0.1</v>
      </c>
    </row>
    <row r="276" spans="1:16" x14ac:dyDescent="0.2">
      <c r="A276" t="s">
        <v>170</v>
      </c>
      <c r="B276" t="s">
        <v>150</v>
      </c>
      <c r="C276" s="29">
        <f>VLOOKUP(B276,[1]!Consulta1[#All],2,FALSE)</f>
        <v>51286</v>
      </c>
      <c r="E276">
        <v>130</v>
      </c>
      <c r="F276">
        <v>2.89</v>
      </c>
      <c r="G276">
        <v>2.89</v>
      </c>
      <c r="H276">
        <v>1.4</v>
      </c>
      <c r="I276">
        <v>1.3</v>
      </c>
      <c r="J276" t="s">
        <v>82</v>
      </c>
      <c r="K276">
        <v>1.1000000000000001</v>
      </c>
      <c r="M276" s="29">
        <f>VLOOKUP(A276,[1]!Consulta1[#All],2,FALSE)</f>
        <v>162</v>
      </c>
      <c r="O276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('162','51286','8265','8299','4','130','2.89','&lt;p&gt;ITA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()&lt;/p&gt;',1,1,3,'2.89','1.4','1.3','1.2','1.1','2025-09-30',now(),now(),2,'0.1','1');</v>
      </c>
      <c r="P276" s="30">
        <v>0.1</v>
      </c>
    </row>
    <row r="277" spans="1:16" x14ac:dyDescent="0.2">
      <c r="A277" t="s">
        <v>169</v>
      </c>
      <c r="B277" t="s">
        <v>151</v>
      </c>
      <c r="C277" s="29">
        <f>VLOOKUP(B277,[1]!Consulta1[#All],2,FALSE)</f>
        <v>51287</v>
      </c>
      <c r="E277">
        <v>130</v>
      </c>
      <c r="F277">
        <v>2.89</v>
      </c>
      <c r="G277">
        <v>2.89</v>
      </c>
      <c r="H277">
        <v>1.4</v>
      </c>
      <c r="I277">
        <v>1.3</v>
      </c>
      <c r="J277" t="s">
        <v>82</v>
      </c>
      <c r="K277">
        <v>1.1000000000000001</v>
      </c>
      <c r="M277" s="29">
        <f>VLOOKUP(A277,[1]!Consulta1[#All],2,FALSE)</f>
        <v>292</v>
      </c>
      <c r="O277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('292','51287','8265','8299','4','130','2.89','&lt;p&gt;ITA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()&lt;/p&gt;',1,1,3,'2.89','1.4','1.3','1.2','1.1','2025-09-30',now(),now(),2,'0.1','1');</v>
      </c>
      <c r="P277" s="30">
        <v>0.1</v>
      </c>
    </row>
    <row r="278" spans="1:16" x14ac:dyDescent="0.2">
      <c r="A278" t="s">
        <v>170</v>
      </c>
      <c r="B278" t="s">
        <v>151</v>
      </c>
      <c r="C278" s="29">
        <f>VLOOKUP(B278,[1]!Consulta1[#All],2,FALSE)</f>
        <v>51287</v>
      </c>
      <c r="E278">
        <v>130</v>
      </c>
      <c r="F278">
        <v>2.89</v>
      </c>
      <c r="G278">
        <v>2.89</v>
      </c>
      <c r="H278">
        <v>1.4</v>
      </c>
      <c r="I278">
        <v>1.3</v>
      </c>
      <c r="J278" t="s">
        <v>82</v>
      </c>
      <c r="K278">
        <v>1.1000000000000001</v>
      </c>
      <c r="M278" s="29">
        <f>VLOOKUP(A278,[1]!Consulta1[#All],2,FALSE)</f>
        <v>162</v>
      </c>
      <c r="O278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('162','51287','8265','8299','4','130','2.89','&lt;p&gt;ITA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()&lt;/p&gt;',1,1,3,'2.89','1.4','1.3','1.2','1.1','2025-09-30',now(),now(),2,'0.1','1');</v>
      </c>
      <c r="P278" s="30">
        <v>0.1</v>
      </c>
    </row>
    <row r="279" spans="1:16" x14ac:dyDescent="0.2">
      <c r="A279" t="s">
        <v>169</v>
      </c>
      <c r="B279" t="s">
        <v>152</v>
      </c>
      <c r="C279" s="29">
        <f>VLOOKUP(B279,[1]!Consulta1[#All],2,FALSE)</f>
        <v>1097</v>
      </c>
      <c r="E279">
        <v>130</v>
      </c>
      <c r="F279">
        <v>2.89</v>
      </c>
      <c r="G279">
        <v>2.89</v>
      </c>
      <c r="H279">
        <v>1.1000000000000001</v>
      </c>
      <c r="I279">
        <v>1.1000000000000001</v>
      </c>
      <c r="J279" t="s">
        <v>111</v>
      </c>
      <c r="K279">
        <v>1.1000000000000001</v>
      </c>
      <c r="M279" s="29">
        <f>VLOOKUP(A279,[1]!Consulta1[#All],2,FALSE)</f>
        <v>292</v>
      </c>
      <c r="O279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('292','1097','8265','8299','4','130','2.89','&lt;p&gt;ITA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()&lt;/p&gt;',1,1,3,'2.89','1.1','1.1','1.1','1.1','2025-09-30',now(),now(),2,'0.1','1');</v>
      </c>
      <c r="P279" s="30">
        <v>0.1</v>
      </c>
    </row>
    <row r="280" spans="1:16" x14ac:dyDescent="0.2">
      <c r="A280" t="s">
        <v>170</v>
      </c>
      <c r="B280" t="s">
        <v>152</v>
      </c>
      <c r="C280" s="29">
        <f>VLOOKUP(B280,[1]!Consulta1[#All],2,FALSE)</f>
        <v>1097</v>
      </c>
      <c r="E280">
        <v>130</v>
      </c>
      <c r="F280">
        <v>2.89</v>
      </c>
      <c r="G280">
        <v>2.89</v>
      </c>
      <c r="H280">
        <v>1.1000000000000001</v>
      </c>
      <c r="I280">
        <v>1.1000000000000001</v>
      </c>
      <c r="J280" t="s">
        <v>111</v>
      </c>
      <c r="K280">
        <v>1.1000000000000001</v>
      </c>
      <c r="M280" s="29">
        <f>VLOOKUP(A280,[1]!Consulta1[#All],2,FALSE)</f>
        <v>162</v>
      </c>
      <c r="O280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('162','1097','8265','8299','4','130','2.89','&lt;p&gt;ITA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()&lt;/p&gt;',1,1,3,'2.89','1.1','1.1','1.1','1.1','2025-09-30',now(),now(),2,'0.1','1');</v>
      </c>
      <c r="P280" s="30">
        <v>0.1</v>
      </c>
    </row>
    <row r="281" spans="1:16" x14ac:dyDescent="0.2">
      <c r="A281" t="s">
        <v>169</v>
      </c>
      <c r="B281" t="s">
        <v>153</v>
      </c>
      <c r="C281" s="29">
        <f>VLOOKUP(B281,[1]!Consulta1[#All],2,FALSE)</f>
        <v>39774</v>
      </c>
      <c r="E281">
        <v>130</v>
      </c>
      <c r="F281">
        <v>2.89</v>
      </c>
      <c r="G281">
        <v>2.89</v>
      </c>
      <c r="H281">
        <v>1.1000000000000001</v>
      </c>
      <c r="I281">
        <v>1.1000000000000001</v>
      </c>
      <c r="J281" t="s">
        <v>111</v>
      </c>
      <c r="K281">
        <v>1.1000000000000001</v>
      </c>
      <c r="M281" s="29">
        <f>VLOOKUP(A281,[1]!Consulta1[#All],2,FALSE)</f>
        <v>292</v>
      </c>
      <c r="O281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('292','39774','8265','8299','4','130','2.89','&lt;p&gt;ITA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()&lt;/p&gt;',1,1,3,'2.89','1.1','1.1','1.1','1.1','2025-09-30',now(),now(),2,'0.1','1');</v>
      </c>
      <c r="P281" s="30">
        <v>0.1</v>
      </c>
    </row>
    <row r="282" spans="1:16" x14ac:dyDescent="0.2">
      <c r="A282" t="s">
        <v>170</v>
      </c>
      <c r="B282" t="s">
        <v>153</v>
      </c>
      <c r="C282" s="29">
        <f>VLOOKUP(B282,[1]!Consulta1[#All],2,FALSE)</f>
        <v>39774</v>
      </c>
      <c r="E282">
        <v>130</v>
      </c>
      <c r="F282">
        <v>2.89</v>
      </c>
      <c r="G282">
        <v>2.89</v>
      </c>
      <c r="H282">
        <v>1.1000000000000001</v>
      </c>
      <c r="I282">
        <v>1.1000000000000001</v>
      </c>
      <c r="J282" t="s">
        <v>111</v>
      </c>
      <c r="K282">
        <v>1.1000000000000001</v>
      </c>
      <c r="M282" s="29">
        <f>VLOOKUP(A282,[1]!Consulta1[#All],2,FALSE)</f>
        <v>162</v>
      </c>
      <c r="O282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('162','39774','8265','8299','4','130','2.89','&lt;p&gt;ITA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()&lt;/p&gt;',1,1,3,'2.89','1.1','1.1','1.1','1.1','2025-09-30',now(),now(),2,'0.1','1');</v>
      </c>
      <c r="P282" s="30">
        <v>0.1</v>
      </c>
    </row>
    <row r="283" spans="1:16" x14ac:dyDescent="0.2">
      <c r="A283" t="s">
        <v>169</v>
      </c>
      <c r="B283" t="s">
        <v>154</v>
      </c>
      <c r="C283" s="29">
        <f>VLOOKUP(B283,[1]!Consulta1[#All],2,FALSE)</f>
        <v>50862</v>
      </c>
      <c r="E283">
        <v>130</v>
      </c>
      <c r="F283">
        <v>2.89</v>
      </c>
      <c r="G283">
        <v>2.89</v>
      </c>
      <c r="H283">
        <v>1.1000000000000001</v>
      </c>
      <c r="I283">
        <v>1.1000000000000001</v>
      </c>
      <c r="J283" t="s">
        <v>111</v>
      </c>
      <c r="K283">
        <v>1.1000000000000001</v>
      </c>
      <c r="M283" s="29">
        <f>VLOOKUP(A283,[1]!Consulta1[#All],2,FALSE)</f>
        <v>292</v>
      </c>
      <c r="O283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('292','50862','8265','8299','4','130','2.89','&lt;p&gt;ITA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()&lt;/p&gt;',1,1,3,'2.89','1.1','1.1','1.1','1.1','2025-09-30',now(),now(),2,'0.1','1');</v>
      </c>
      <c r="P283" s="30">
        <v>0.1</v>
      </c>
    </row>
    <row r="284" spans="1:16" x14ac:dyDescent="0.2">
      <c r="A284" t="s">
        <v>170</v>
      </c>
      <c r="B284" t="s">
        <v>154</v>
      </c>
      <c r="C284" s="29">
        <f>VLOOKUP(B284,[1]!Consulta1[#All],2,FALSE)</f>
        <v>50862</v>
      </c>
      <c r="E284">
        <v>130</v>
      </c>
      <c r="F284">
        <v>2.89</v>
      </c>
      <c r="G284">
        <v>2.89</v>
      </c>
      <c r="H284">
        <v>1.1000000000000001</v>
      </c>
      <c r="I284">
        <v>1.1000000000000001</v>
      </c>
      <c r="J284" t="s">
        <v>111</v>
      </c>
      <c r="K284">
        <v>1.1000000000000001</v>
      </c>
      <c r="M284" s="29">
        <f>VLOOKUP(A284,[1]!Consulta1[#All],2,FALSE)</f>
        <v>162</v>
      </c>
      <c r="O284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('162','50862','8265','8299','4','130','2.89','&lt;p&gt;ITA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()&lt;/p&gt;',1,1,3,'2.89','1.1','1.1','1.1','1.1','2025-09-30',now(),now(),2,'0.1','1');</v>
      </c>
      <c r="P284" s="30">
        <v>0.1</v>
      </c>
    </row>
    <row r="285" spans="1:16" x14ac:dyDescent="0.2">
      <c r="A285" t="s">
        <v>169</v>
      </c>
      <c r="B285" t="s">
        <v>155</v>
      </c>
      <c r="C285" s="29">
        <f>VLOOKUP(B285,[1]!Consulta1[#All],2,FALSE)</f>
        <v>39775</v>
      </c>
      <c r="E285">
        <v>130</v>
      </c>
      <c r="F285">
        <v>2.89</v>
      </c>
      <c r="G285">
        <v>2.89</v>
      </c>
      <c r="H285">
        <v>1.1000000000000001</v>
      </c>
      <c r="I285">
        <v>1.1000000000000001</v>
      </c>
      <c r="J285" t="s">
        <v>111</v>
      </c>
      <c r="K285">
        <v>1.1000000000000001</v>
      </c>
      <c r="M285" s="29">
        <f>VLOOKUP(A285,[1]!Consulta1[#All],2,FALSE)</f>
        <v>292</v>
      </c>
      <c r="O285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('292','39775','8265','8299','4','130','2.89','&lt;p&gt;ITA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()&lt;/p&gt;',1,1,3,'2.89','1.1','1.1','1.1','1.1','2025-09-30',now(),now(),2,'0.1','1');</v>
      </c>
      <c r="P285" s="30">
        <v>0.1</v>
      </c>
    </row>
    <row r="286" spans="1:16" x14ac:dyDescent="0.2">
      <c r="A286" t="s">
        <v>170</v>
      </c>
      <c r="B286" t="s">
        <v>155</v>
      </c>
      <c r="C286" s="29">
        <f>VLOOKUP(B286,[1]!Consulta1[#All],2,FALSE)</f>
        <v>39775</v>
      </c>
      <c r="E286">
        <v>130</v>
      </c>
      <c r="F286">
        <v>2.89</v>
      </c>
      <c r="G286">
        <v>2.89</v>
      </c>
      <c r="H286">
        <v>1.1000000000000001</v>
      </c>
      <c r="I286">
        <v>1.1000000000000001</v>
      </c>
      <c r="J286" t="s">
        <v>111</v>
      </c>
      <c r="K286">
        <v>1.1000000000000001</v>
      </c>
      <c r="M286" s="29">
        <f>VLOOKUP(A286,[1]!Consulta1[#All],2,FALSE)</f>
        <v>162</v>
      </c>
      <c r="O286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('162','39775','8265','8299','4','130','2.89','&lt;p&gt;ITA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()&lt;/p&gt;',1,1,3,'2.89','1.1','1.1','1.1','1.1','2025-09-30',now(),now(),2,'0.1','1');</v>
      </c>
      <c r="P286" s="30">
        <v>0.1</v>
      </c>
    </row>
    <row r="287" spans="1:16" x14ac:dyDescent="0.2">
      <c r="A287" t="s">
        <v>169</v>
      </c>
      <c r="B287" t="s">
        <v>156</v>
      </c>
      <c r="C287" s="29">
        <f>VLOOKUP(B287,[1]!Consulta1[#All],2,FALSE)</f>
        <v>50842</v>
      </c>
      <c r="E287">
        <v>130</v>
      </c>
      <c r="F287">
        <v>2.89</v>
      </c>
      <c r="G287">
        <v>2.89</v>
      </c>
      <c r="H287">
        <v>1.1000000000000001</v>
      </c>
      <c r="I287">
        <v>1.1000000000000001</v>
      </c>
      <c r="J287" t="s">
        <v>111</v>
      </c>
      <c r="K287">
        <v>1.1000000000000001</v>
      </c>
      <c r="M287" s="29">
        <f>VLOOKUP(A287,[1]!Consulta1[#All],2,FALSE)</f>
        <v>292</v>
      </c>
      <c r="O287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('292','50842','8265','8299','4','130','2.89','&lt;p&gt;ITA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()&lt;/p&gt;',1,1,3,'2.89','1.1','1.1','1.1','1.1','2025-09-30',now(),now(),2,'0.1','1');</v>
      </c>
      <c r="P287" s="30">
        <v>0.1</v>
      </c>
    </row>
    <row r="288" spans="1:16" x14ac:dyDescent="0.2">
      <c r="A288" t="s">
        <v>170</v>
      </c>
      <c r="B288" t="s">
        <v>156</v>
      </c>
      <c r="C288" s="29">
        <f>VLOOKUP(B288,[1]!Consulta1[#All],2,FALSE)</f>
        <v>50842</v>
      </c>
      <c r="E288">
        <v>130</v>
      </c>
      <c r="F288">
        <v>2.89</v>
      </c>
      <c r="G288">
        <v>2.89</v>
      </c>
      <c r="H288">
        <v>1.1000000000000001</v>
      </c>
      <c r="I288">
        <v>1.1000000000000001</v>
      </c>
      <c r="J288" t="s">
        <v>111</v>
      </c>
      <c r="K288">
        <v>1.1000000000000001</v>
      </c>
      <c r="M288" s="29">
        <f>VLOOKUP(A288,[1]!Consulta1[#All],2,FALSE)</f>
        <v>162</v>
      </c>
      <c r="O288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('162','50842','8265','8299','4','130','2.89','&lt;p&gt;ITA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()&lt;/p&gt;',1,1,3,'2.89','1.1','1.1','1.1','1.1','2025-09-30',now(),now(),2,'0.1','1');</v>
      </c>
      <c r="P288" s="30">
        <v>0.1</v>
      </c>
    </row>
    <row r="289" spans="1:16" x14ac:dyDescent="0.2">
      <c r="A289" t="s">
        <v>169</v>
      </c>
      <c r="B289" t="s">
        <v>157</v>
      </c>
      <c r="C289" s="29">
        <f>VLOOKUP(B289,[1]!Consulta1[#All],2,FALSE)</f>
        <v>50995</v>
      </c>
      <c r="E289">
        <v>130</v>
      </c>
      <c r="F289">
        <v>2.89</v>
      </c>
      <c r="G289">
        <v>2.89</v>
      </c>
      <c r="H289">
        <v>1.1000000000000001</v>
      </c>
      <c r="I289">
        <v>1.1000000000000001</v>
      </c>
      <c r="J289" t="s">
        <v>111</v>
      </c>
      <c r="K289">
        <v>1.1000000000000001</v>
      </c>
      <c r="M289" s="29">
        <f>VLOOKUP(A289,[1]!Consulta1[#All],2,FALSE)</f>
        <v>292</v>
      </c>
      <c r="O289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('292','50995','8265','8299','4','130','2.89','&lt;p&gt;ITA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()&lt;/p&gt;',1,1,3,'2.89','1.1','1.1','1.1','1.1','2025-09-30',now(),now(),2,'0.1','1');</v>
      </c>
      <c r="P289" s="30">
        <v>0.1</v>
      </c>
    </row>
    <row r="290" spans="1:16" x14ac:dyDescent="0.2">
      <c r="A290" t="s">
        <v>170</v>
      </c>
      <c r="B290" t="s">
        <v>157</v>
      </c>
      <c r="C290" s="29">
        <f>VLOOKUP(B290,[1]!Consulta1[#All],2,FALSE)</f>
        <v>50995</v>
      </c>
      <c r="E290">
        <v>130</v>
      </c>
      <c r="F290">
        <v>2.89</v>
      </c>
      <c r="G290">
        <v>2.89</v>
      </c>
      <c r="H290">
        <v>1.1000000000000001</v>
      </c>
      <c r="I290">
        <v>1.1000000000000001</v>
      </c>
      <c r="J290" t="s">
        <v>111</v>
      </c>
      <c r="K290">
        <v>1.1000000000000001</v>
      </c>
      <c r="M290" s="29">
        <f>VLOOKUP(A290,[1]!Consulta1[#All],2,FALSE)</f>
        <v>162</v>
      </c>
      <c r="O290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('162','50995','8265','8299','4','130','2.89','&lt;p&gt;ITA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()&lt;/p&gt;',1,1,3,'2.89','1.1','1.1','1.1','1.1','2025-09-30',now(),now(),2,'0.1','1');</v>
      </c>
      <c r="P290" s="30">
        <v>0.1</v>
      </c>
    </row>
    <row r="291" spans="1:16" x14ac:dyDescent="0.2">
      <c r="A291" t="s">
        <v>169</v>
      </c>
      <c r="B291" t="s">
        <v>158</v>
      </c>
      <c r="C291" s="29">
        <f>VLOOKUP(B291,[1]!Consulta1[#All],2,FALSE)</f>
        <v>50908</v>
      </c>
      <c r="E291">
        <v>130</v>
      </c>
      <c r="F291">
        <v>2.89</v>
      </c>
      <c r="G291">
        <v>2.89</v>
      </c>
      <c r="H291">
        <v>1.1000000000000001</v>
      </c>
      <c r="I291">
        <v>1.1000000000000001</v>
      </c>
      <c r="J291" t="s">
        <v>111</v>
      </c>
      <c r="K291">
        <v>1.1000000000000001</v>
      </c>
      <c r="M291" s="29">
        <f>VLOOKUP(A291,[1]!Consulta1[#All],2,FALSE)</f>
        <v>292</v>
      </c>
      <c r="O291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('292','50908','8265','8299','4','130','2.89','&lt;p&gt;ITA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()&lt;/p&gt;',1,1,3,'2.89','1.1','1.1','1.1','1.1','2025-09-30',now(),now(),2,'0.1','1');</v>
      </c>
      <c r="P291" s="30">
        <v>0.1</v>
      </c>
    </row>
    <row r="292" spans="1:16" x14ac:dyDescent="0.2">
      <c r="A292" t="s">
        <v>170</v>
      </c>
      <c r="B292" t="s">
        <v>158</v>
      </c>
      <c r="C292" s="29">
        <f>VLOOKUP(B292,[1]!Consulta1[#All],2,FALSE)</f>
        <v>50908</v>
      </c>
      <c r="E292">
        <v>130</v>
      </c>
      <c r="F292">
        <v>2.89</v>
      </c>
      <c r="G292">
        <v>2.89</v>
      </c>
      <c r="H292">
        <v>1.1000000000000001</v>
      </c>
      <c r="I292">
        <v>1.1000000000000001</v>
      </c>
      <c r="J292" t="s">
        <v>111</v>
      </c>
      <c r="K292">
        <v>1.1000000000000001</v>
      </c>
      <c r="M292" s="29">
        <f>VLOOKUP(A292,[1]!Consulta1[#All],2,FALSE)</f>
        <v>162</v>
      </c>
      <c r="O292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('162','50908','8265','8299','4','130','2.89','&lt;p&gt;ITA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()&lt;/p&gt;',1,1,3,'2.89','1.1','1.1','1.1','1.1','2025-09-30',now(),now(),2,'0.1','1');</v>
      </c>
      <c r="P292" s="30">
        <v>0.1</v>
      </c>
    </row>
    <row r="293" spans="1:16" x14ac:dyDescent="0.2">
      <c r="A293" t="s">
        <v>169</v>
      </c>
      <c r="B293" t="s">
        <v>159</v>
      </c>
      <c r="C293" s="29">
        <f>VLOOKUP(B293,[1]!Consulta1[#All],2,FALSE)</f>
        <v>50909</v>
      </c>
      <c r="E293">
        <v>130</v>
      </c>
      <c r="F293">
        <v>2.89</v>
      </c>
      <c r="G293">
        <v>2.89</v>
      </c>
      <c r="H293">
        <v>1.1000000000000001</v>
      </c>
      <c r="I293">
        <v>1.1000000000000001</v>
      </c>
      <c r="J293" t="s">
        <v>111</v>
      </c>
      <c r="K293">
        <v>1.1000000000000001</v>
      </c>
      <c r="M293" s="29">
        <f>VLOOKUP(A293,[1]!Consulta1[#All],2,FALSE)</f>
        <v>292</v>
      </c>
      <c r="O293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('292','50909','8265','8299','4','130','2.89','&lt;p&gt;ITA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()&lt;/p&gt;',1,1,3,'2.89','1.1','1.1','1.1','1.1','2025-09-30',now(),now(),2,'0.1','1');</v>
      </c>
      <c r="P293" s="30">
        <v>0.1</v>
      </c>
    </row>
    <row r="294" spans="1:16" x14ac:dyDescent="0.2">
      <c r="A294" t="s">
        <v>170</v>
      </c>
      <c r="B294" t="s">
        <v>159</v>
      </c>
      <c r="C294" s="29">
        <f>VLOOKUP(B294,[1]!Consulta1[#All],2,FALSE)</f>
        <v>50909</v>
      </c>
      <c r="E294">
        <v>130</v>
      </c>
      <c r="F294">
        <v>2.89</v>
      </c>
      <c r="G294">
        <v>2.89</v>
      </c>
      <c r="H294">
        <v>1.1000000000000001</v>
      </c>
      <c r="I294">
        <v>1.1000000000000001</v>
      </c>
      <c r="J294" t="s">
        <v>111</v>
      </c>
      <c r="K294">
        <v>1.1000000000000001</v>
      </c>
      <c r="M294" s="29">
        <f>VLOOKUP(A294,[1]!Consulta1[#All],2,FALSE)</f>
        <v>162</v>
      </c>
      <c r="O294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('162','50909','8265','8299','4','130','2.89','&lt;p&gt;ITA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()&lt;/p&gt;',1,1,3,'2.89','1.1','1.1','1.1','1.1','2025-09-30',now(),now(),2,'0.1','1');</v>
      </c>
      <c r="P294" s="30">
        <v>0.1</v>
      </c>
    </row>
    <row r="295" spans="1:16" x14ac:dyDescent="0.2">
      <c r="A295" t="s">
        <v>169</v>
      </c>
      <c r="B295" t="s">
        <v>160</v>
      </c>
      <c r="C295" s="29">
        <f>VLOOKUP(B295,[1]!Consulta1[#All],2,FALSE)</f>
        <v>39778</v>
      </c>
      <c r="E295">
        <v>130</v>
      </c>
      <c r="F295">
        <v>2.89</v>
      </c>
      <c r="G295">
        <v>2.89</v>
      </c>
      <c r="H295">
        <v>1.1000000000000001</v>
      </c>
      <c r="I295">
        <v>1.1000000000000001</v>
      </c>
      <c r="J295" t="s">
        <v>111</v>
      </c>
      <c r="K295">
        <v>1.1000000000000001</v>
      </c>
      <c r="M295" s="29">
        <f>VLOOKUP(A295,[1]!Consulta1[#All],2,FALSE)</f>
        <v>292</v>
      </c>
      <c r="O295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('292','39778','8265','8299','4','130','2.89','&lt;p&gt;ITA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()&lt;/p&gt;',1,1,3,'2.89','1.1','1.1','1.1','1.1','2025-09-30',now(),now(),2,'0.1','1');</v>
      </c>
      <c r="P295" s="30">
        <v>0.1</v>
      </c>
    </row>
    <row r="296" spans="1:16" x14ac:dyDescent="0.2">
      <c r="A296" t="s">
        <v>170</v>
      </c>
      <c r="B296" t="s">
        <v>160</v>
      </c>
      <c r="C296" s="29">
        <f>VLOOKUP(B296,[1]!Consulta1[#All],2,FALSE)</f>
        <v>39778</v>
      </c>
      <c r="E296">
        <v>130</v>
      </c>
      <c r="F296">
        <v>2.89</v>
      </c>
      <c r="G296">
        <v>2.89</v>
      </c>
      <c r="H296">
        <v>1.1000000000000001</v>
      </c>
      <c r="I296">
        <v>1.1000000000000001</v>
      </c>
      <c r="J296" t="s">
        <v>111</v>
      </c>
      <c r="K296">
        <v>1.1000000000000001</v>
      </c>
      <c r="M296" s="29">
        <f>VLOOKUP(A296,[1]!Consulta1[#All],2,FALSE)</f>
        <v>162</v>
      </c>
      <c r="O296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('162','39778','8265','8299','4','130','2.89','&lt;p&gt;ITA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()&lt;/p&gt;',1,1,3,'2.89','1.1','1.1','1.1','1.1','2025-09-30',now(),now(),2,'0.1','1');</v>
      </c>
      <c r="P296" s="30">
        <v>0.1</v>
      </c>
    </row>
    <row r="297" spans="1:16" x14ac:dyDescent="0.2">
      <c r="A297" t="s">
        <v>169</v>
      </c>
      <c r="B297" t="s">
        <v>161</v>
      </c>
      <c r="C297" s="29">
        <f>VLOOKUP(B297,[1]!Consulta1[#All],2,FALSE)</f>
        <v>50914</v>
      </c>
      <c r="E297">
        <v>130</v>
      </c>
      <c r="F297">
        <v>2.89</v>
      </c>
      <c r="G297">
        <v>2.89</v>
      </c>
      <c r="H297">
        <v>1.1000000000000001</v>
      </c>
      <c r="I297">
        <v>1.1000000000000001</v>
      </c>
      <c r="J297" t="s">
        <v>111</v>
      </c>
      <c r="K297">
        <v>1.1000000000000001</v>
      </c>
      <c r="M297" s="29">
        <f>VLOOKUP(A297,[1]!Consulta1[#All],2,FALSE)</f>
        <v>292</v>
      </c>
      <c r="O297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('292','50914','8265','8299','4','130','2.89','&lt;p&gt;ITA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()&lt;/p&gt;',1,1,3,'2.89','1.1','1.1','1.1','1.1','2025-09-30',now(),now(),2,'0.1','1');</v>
      </c>
      <c r="P297" s="30">
        <v>0.1</v>
      </c>
    </row>
    <row r="298" spans="1:16" x14ac:dyDescent="0.2">
      <c r="A298" t="s">
        <v>170</v>
      </c>
      <c r="B298" t="s">
        <v>161</v>
      </c>
      <c r="C298" s="29">
        <f>VLOOKUP(B298,[1]!Consulta1[#All],2,FALSE)</f>
        <v>50914</v>
      </c>
      <c r="E298">
        <v>130</v>
      </c>
      <c r="F298">
        <v>2.89</v>
      </c>
      <c r="G298">
        <v>2.89</v>
      </c>
      <c r="H298">
        <v>1.1000000000000001</v>
      </c>
      <c r="I298">
        <v>1.1000000000000001</v>
      </c>
      <c r="J298" t="s">
        <v>111</v>
      </c>
      <c r="K298">
        <v>1.1000000000000001</v>
      </c>
      <c r="M298" s="29">
        <f>VLOOKUP(A298,[1]!Consulta1[#All],2,FALSE)</f>
        <v>162</v>
      </c>
      <c r="O298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('162','50914','8265','8299','4','130','2.89','&lt;p&gt;ITA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()&lt;/p&gt;',1,1,3,'2.89','1.1','1.1','1.1','1.1','2025-09-30',now(),now(),2,'0.1','1');</v>
      </c>
      <c r="P298" s="30">
        <v>0.1</v>
      </c>
    </row>
    <row r="299" spans="1:16" x14ac:dyDescent="0.2">
      <c r="A299" t="s">
        <v>169</v>
      </c>
      <c r="B299" t="s">
        <v>162</v>
      </c>
      <c r="C299" s="29">
        <f>VLOOKUP(B299,[1]!Consulta1[#All],2,FALSE)</f>
        <v>51114</v>
      </c>
      <c r="E299">
        <v>130</v>
      </c>
      <c r="F299">
        <v>2.89</v>
      </c>
      <c r="G299">
        <v>2.89</v>
      </c>
      <c r="H299">
        <v>1.1000000000000001</v>
      </c>
      <c r="I299">
        <v>1.1000000000000001</v>
      </c>
      <c r="J299" t="s">
        <v>111</v>
      </c>
      <c r="K299">
        <v>1.1000000000000001</v>
      </c>
      <c r="M299" s="29">
        <f>VLOOKUP(A299,[1]!Consulta1[#All],2,FALSE)</f>
        <v>292</v>
      </c>
      <c r="O299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('292','51114','8265','8299','4','130','2.89','&lt;p&gt;ITA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()&lt;/p&gt;',1,1,3,'2.89','1.1','1.1','1.1','1.1','2025-09-30',now(),now(),2,'0.1','1');</v>
      </c>
      <c r="P299" s="30">
        <v>0.1</v>
      </c>
    </row>
    <row r="300" spans="1:16" x14ac:dyDescent="0.2">
      <c r="A300" t="s">
        <v>170</v>
      </c>
      <c r="B300" t="s">
        <v>162</v>
      </c>
      <c r="C300" s="29">
        <f>VLOOKUP(B300,[1]!Consulta1[#All],2,FALSE)</f>
        <v>51114</v>
      </c>
      <c r="E300">
        <v>130</v>
      </c>
      <c r="F300">
        <v>2.89</v>
      </c>
      <c r="G300">
        <v>2.89</v>
      </c>
      <c r="H300">
        <v>1.1000000000000001</v>
      </c>
      <c r="I300">
        <v>1.1000000000000001</v>
      </c>
      <c r="J300" t="s">
        <v>111</v>
      </c>
      <c r="K300">
        <v>1.1000000000000001</v>
      </c>
      <c r="M300" s="29">
        <f>VLOOKUP(A300,[1]!Consulta1[#All],2,FALSE)</f>
        <v>162</v>
      </c>
      <c r="O300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('162','51114','8265','8299','4','130','2.89','&lt;p&gt;ITA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()&lt;/p&gt;',1,1,3,'2.89','1.1','1.1','1.1','1.1','2025-09-30',now(),now(),2,'0.1','1');</v>
      </c>
      <c r="P300" s="30">
        <v>0.1</v>
      </c>
    </row>
    <row r="301" spans="1:16" x14ac:dyDescent="0.2">
      <c r="A301" t="s">
        <v>169</v>
      </c>
      <c r="B301" t="s">
        <v>163</v>
      </c>
      <c r="C301" s="29">
        <f>VLOOKUP(B301,[1]!Consulta1[#All],2,FALSE)</f>
        <v>51120</v>
      </c>
      <c r="E301">
        <v>130</v>
      </c>
      <c r="F301">
        <v>2.89</v>
      </c>
      <c r="G301">
        <v>2.89</v>
      </c>
      <c r="H301">
        <v>1.1000000000000001</v>
      </c>
      <c r="I301">
        <v>1.1000000000000001</v>
      </c>
      <c r="J301" t="s">
        <v>111</v>
      </c>
      <c r="K301">
        <v>1.1000000000000001</v>
      </c>
      <c r="M301" s="29">
        <f>VLOOKUP(A301,[1]!Consulta1[#All],2,FALSE)</f>
        <v>292</v>
      </c>
      <c r="O301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('292','51120','8265','8299','4','130','2.89','&lt;p&gt;ITA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()&lt;/p&gt;',1,1,3,'2.89','1.1','1.1','1.1','1.1','2025-09-30',now(),now(),2,'0.1','1');</v>
      </c>
      <c r="P301" s="30">
        <v>0.1</v>
      </c>
    </row>
    <row r="302" spans="1:16" x14ac:dyDescent="0.2">
      <c r="A302" t="s">
        <v>170</v>
      </c>
      <c r="B302" t="s">
        <v>163</v>
      </c>
      <c r="C302" s="29">
        <f>VLOOKUP(B302,[1]!Consulta1[#All],2,FALSE)</f>
        <v>51120</v>
      </c>
      <c r="E302">
        <v>130</v>
      </c>
      <c r="F302">
        <v>2.89</v>
      </c>
      <c r="G302">
        <v>2.89</v>
      </c>
      <c r="H302">
        <v>1.1000000000000001</v>
      </c>
      <c r="I302">
        <v>1.1000000000000001</v>
      </c>
      <c r="J302" t="s">
        <v>111</v>
      </c>
      <c r="K302">
        <v>1.1000000000000001</v>
      </c>
      <c r="M302" s="29">
        <f>VLOOKUP(A302,[1]!Consulta1[#All],2,FALSE)</f>
        <v>162</v>
      </c>
      <c r="O302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('162','51120','8265','8299','4','130','2.89','&lt;p&gt;ITA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()&lt;/p&gt;',1,1,3,'2.89','1.1','1.1','1.1','1.1','2025-09-30',now(),now(),2,'0.1','1');</v>
      </c>
      <c r="P302" s="30">
        <v>0.1</v>
      </c>
    </row>
    <row r="303" spans="1:16" x14ac:dyDescent="0.2">
      <c r="A303" t="s">
        <v>169</v>
      </c>
      <c r="B303" t="s">
        <v>168</v>
      </c>
      <c r="C303" s="29">
        <f>VLOOKUP(B303,[1]!Consulta1[#All],2,FALSE)</f>
        <v>51007</v>
      </c>
      <c r="E303">
        <v>130</v>
      </c>
      <c r="F303">
        <v>2.89</v>
      </c>
      <c r="G303">
        <v>2.89</v>
      </c>
      <c r="H303">
        <v>1.1000000000000001</v>
      </c>
      <c r="I303">
        <v>1.1000000000000001</v>
      </c>
      <c r="J303" t="s">
        <v>111</v>
      </c>
      <c r="K303">
        <v>1.1000000000000001</v>
      </c>
      <c r="M303" s="29">
        <f>VLOOKUP(A303,[1]!Consulta1[#All],2,FALSE)</f>
        <v>292</v>
      </c>
      <c r="O303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('292','51007','8265','8299','4','130','2.89','&lt;p&gt;ITA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()&lt;/p&gt;',1,1,3,'2.89','1.1','1.1','1.1','1.1','2025-09-30',now(),now(),2,'0.1','1');</v>
      </c>
      <c r="P303" s="30">
        <v>0.1</v>
      </c>
    </row>
    <row r="304" spans="1:16" x14ac:dyDescent="0.2">
      <c r="A304" t="s">
        <v>170</v>
      </c>
      <c r="B304" t="s">
        <v>168</v>
      </c>
      <c r="C304" s="29">
        <f>VLOOKUP(B304,[1]!Consulta1[#All],2,FALSE)</f>
        <v>51007</v>
      </c>
      <c r="E304">
        <v>130</v>
      </c>
      <c r="F304">
        <v>2.89</v>
      </c>
      <c r="G304">
        <v>2.89</v>
      </c>
      <c r="H304">
        <v>1.1000000000000001</v>
      </c>
      <c r="I304">
        <v>1.1000000000000001</v>
      </c>
      <c r="J304" t="s">
        <v>111</v>
      </c>
      <c r="K304">
        <v>1.1000000000000001</v>
      </c>
      <c r="M304" s="29">
        <f>VLOOKUP(A304,[1]!Consulta1[#All],2,FALSE)</f>
        <v>162</v>
      </c>
      <c r="O304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('162','51007','8265','8299','4','130','2.89','&lt;p&gt;ITA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()&lt;/p&gt;',1,1,3,'2.89','1.1','1.1','1.1','1.1','2025-09-30',now(),now(),2,'0.1','1');</v>
      </c>
      <c r="P304" s="30">
        <v>0.1</v>
      </c>
    </row>
    <row r="305" spans="1:16" x14ac:dyDescent="0.2">
      <c r="A305" t="s">
        <v>169</v>
      </c>
      <c r="B305" t="s">
        <v>164</v>
      </c>
      <c r="C305" s="29">
        <f>VLOOKUP(B305,[1]!Consulta1[#All],2,FALSE)</f>
        <v>51096</v>
      </c>
      <c r="E305">
        <v>130</v>
      </c>
      <c r="F305">
        <v>4.5</v>
      </c>
      <c r="G305">
        <v>3.8</v>
      </c>
      <c r="H305">
        <v>2.4</v>
      </c>
      <c r="I305">
        <v>2.2999999999999998</v>
      </c>
      <c r="J305" t="s">
        <v>88</v>
      </c>
      <c r="K305">
        <v>2.1</v>
      </c>
      <c r="M305" s="29">
        <f>VLOOKUP(A305,[1]!Consulta1[#All],2,FALSE)</f>
        <v>292</v>
      </c>
      <c r="O305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('292','51096','8265','8299','4','130','4.5','&lt;p&gt;ITA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()&lt;/p&gt;',1,1,3,'3.8','2.4','2.3','2.2','2.1','2025-09-30',now(),now(),2,'0.1','1');</v>
      </c>
      <c r="P305" s="30">
        <v>0.1</v>
      </c>
    </row>
    <row r="306" spans="1:16" x14ac:dyDescent="0.2">
      <c r="A306" t="s">
        <v>169</v>
      </c>
      <c r="B306" t="s">
        <v>165</v>
      </c>
      <c r="C306" s="29">
        <f>VLOOKUP(B306,[1]!Consulta1[#All],2,FALSE)</f>
        <v>50922</v>
      </c>
      <c r="E306">
        <v>130</v>
      </c>
      <c r="F306">
        <v>4.5</v>
      </c>
      <c r="G306">
        <v>3.8</v>
      </c>
      <c r="H306">
        <v>2.4</v>
      </c>
      <c r="I306">
        <v>2.2999999999999998</v>
      </c>
      <c r="J306" t="s">
        <v>88</v>
      </c>
      <c r="K306">
        <v>2.1</v>
      </c>
      <c r="M306" s="29">
        <f>VLOOKUP(A306,[1]!Consulta1[#All],2,FALSE)</f>
        <v>292</v>
      </c>
      <c r="O306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('292','50922','8265','8299','4','130','4.5','&lt;p&gt;ITA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()&lt;/p&gt;',1,1,3,'3.8','2.4','2.3','2.2','2.1','2025-09-30',now(),now(),2,'0.1','1');</v>
      </c>
      <c r="P306" s="30">
        <v>0.1</v>
      </c>
    </row>
    <row r="307" spans="1:16" x14ac:dyDescent="0.2">
      <c r="A307" t="s">
        <v>170</v>
      </c>
      <c r="B307" t="s">
        <v>164</v>
      </c>
      <c r="C307" s="29">
        <f>VLOOKUP(B307,[1]!Consulta1[#All],2,FALSE)</f>
        <v>51096</v>
      </c>
      <c r="E307">
        <v>130</v>
      </c>
      <c r="F307">
        <v>4.5</v>
      </c>
      <c r="G307">
        <v>3.8</v>
      </c>
      <c r="H307">
        <v>2.4</v>
      </c>
      <c r="I307">
        <v>2.2999999999999998</v>
      </c>
      <c r="J307" t="s">
        <v>88</v>
      </c>
      <c r="K307">
        <v>2.1</v>
      </c>
      <c r="M307" s="29">
        <f>VLOOKUP(A307,[1]!Consulta1[#All],2,FALSE)</f>
        <v>162</v>
      </c>
      <c r="O307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('162','51096','8265','8299','4','130','4.5','&lt;p&gt;ITA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()&lt;/p&gt;',1,1,3,'3.8','2.4','2.3','2.2','2.1','2025-09-30',now(),now(),2,'0.1','1');</v>
      </c>
      <c r="P307" s="30">
        <v>0.1</v>
      </c>
    </row>
    <row r="308" spans="1:16" x14ac:dyDescent="0.2">
      <c r="A308" t="s">
        <v>170</v>
      </c>
      <c r="B308" t="s">
        <v>165</v>
      </c>
      <c r="C308" s="29">
        <f>VLOOKUP(B308,[1]!Consulta1[#All],2,FALSE)</f>
        <v>50922</v>
      </c>
      <c r="E308">
        <v>130</v>
      </c>
      <c r="F308">
        <v>4.5</v>
      </c>
      <c r="G308">
        <v>3.8</v>
      </c>
      <c r="H308">
        <v>2.4</v>
      </c>
      <c r="I308">
        <v>2.2999999999999998</v>
      </c>
      <c r="J308" t="s">
        <v>88</v>
      </c>
      <c r="K308">
        <v>2.1</v>
      </c>
      <c r="M308" s="29">
        <f>VLOOKUP(A308,[1]!Consulta1[#All],2,FALSE)</f>
        <v>162</v>
      </c>
      <c r="O308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('162','50922','8265','8299','4','130','4.5','&lt;p&gt;ITA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()&lt;/p&gt;',1,1,3,'3.8','2.4','2.3','2.2','2.1','2025-09-30',now(),now(),2,'0.1','1');</v>
      </c>
      <c r="P308" s="30">
        <v>0.1</v>
      </c>
    </row>
    <row r="309" spans="1:16" x14ac:dyDescent="0.2">
      <c r="A309" t="s">
        <v>169</v>
      </c>
      <c r="B309" t="s">
        <v>51</v>
      </c>
      <c r="C309" s="29">
        <f>VLOOKUP(B309,[1]!Consulta1[#All],2,FALSE)</f>
        <v>50830</v>
      </c>
      <c r="E309">
        <v>130</v>
      </c>
      <c r="F309">
        <v>4.5</v>
      </c>
      <c r="G309">
        <v>3.8</v>
      </c>
      <c r="H309">
        <v>1.8</v>
      </c>
      <c r="I309">
        <v>1.7</v>
      </c>
      <c r="J309" t="s">
        <v>115</v>
      </c>
      <c r="K309">
        <v>1.5</v>
      </c>
      <c r="M309" s="29">
        <f>VLOOKUP(A309,[1]!Consulta1[#All],2,FALSE)</f>
        <v>292</v>
      </c>
      <c r="O309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('292','50830','8265','8299','4','130','4.5','&lt;p&gt;ITA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()&lt;/p&gt;',1,1,3,'3.8','1.8','1.7','1.6','1.5','2025-09-30',now(),now(),2,'0.1','1');</v>
      </c>
      <c r="P309" s="30">
        <v>0.1</v>
      </c>
    </row>
    <row r="310" spans="1:16" x14ac:dyDescent="0.2">
      <c r="A310" t="s">
        <v>170</v>
      </c>
      <c r="B310" t="s">
        <v>51</v>
      </c>
      <c r="C310" s="29">
        <f>VLOOKUP(B310,[1]!Consulta1[#All],2,FALSE)</f>
        <v>50830</v>
      </c>
      <c r="E310">
        <v>130</v>
      </c>
      <c r="F310">
        <v>4.5</v>
      </c>
      <c r="G310">
        <v>3.8</v>
      </c>
      <c r="H310">
        <v>1.8</v>
      </c>
      <c r="I310">
        <v>1.7</v>
      </c>
      <c r="J310" t="s">
        <v>115</v>
      </c>
      <c r="K310">
        <v>1.5</v>
      </c>
      <c r="M310" s="29">
        <f>VLOOKUP(A310,[1]!Consulta1[#All],2,FALSE)</f>
        <v>162</v>
      </c>
      <c r="O310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('162','50830','8265','8299','4','130','4.5','&lt;p&gt;ITA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()&lt;/p&gt;',1,1,3,'3.8','1.8','1.7','1.6','1.5','2025-09-30',now(),now(),2,'0.1','1');</v>
      </c>
      <c r="P310" s="30">
        <v>0.1</v>
      </c>
    </row>
    <row r="311" spans="1:16" x14ac:dyDescent="0.2">
      <c r="A311" t="s">
        <v>169</v>
      </c>
      <c r="B311" t="s">
        <v>54</v>
      </c>
      <c r="C311" s="29">
        <f>VLOOKUP(B311,[1]!Consulta1[#All],2,FALSE)</f>
        <v>51004</v>
      </c>
      <c r="E311">
        <v>130</v>
      </c>
      <c r="F311">
        <v>4.5</v>
      </c>
      <c r="G311">
        <v>3.8</v>
      </c>
      <c r="H311">
        <v>2.1</v>
      </c>
      <c r="I311">
        <v>2</v>
      </c>
      <c r="J311" t="s">
        <v>129</v>
      </c>
      <c r="K311">
        <v>1.8</v>
      </c>
      <c r="M311" s="29">
        <f>VLOOKUP(A311,[1]!Consulta1[#All],2,FALSE)</f>
        <v>292</v>
      </c>
      <c r="O311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('292','51004','8265','8299','4','130','4.5','&lt;p&gt;ITA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()&lt;/p&gt;',1,1,3,'3.8','2.1','2','1.9','1.8','2025-09-30',now(),now(),2,'0.1','1');</v>
      </c>
      <c r="P311" s="30">
        <v>0.1</v>
      </c>
    </row>
    <row r="312" spans="1:16" x14ac:dyDescent="0.2">
      <c r="A312" t="s">
        <v>170</v>
      </c>
      <c r="B312" t="s">
        <v>54</v>
      </c>
      <c r="C312" s="29">
        <f>VLOOKUP(B312,[1]!Consulta1[#All],2,FALSE)</f>
        <v>51004</v>
      </c>
      <c r="E312">
        <v>130</v>
      </c>
      <c r="F312">
        <v>4.5</v>
      </c>
      <c r="G312">
        <v>3.8</v>
      </c>
      <c r="H312">
        <v>2.1</v>
      </c>
      <c r="I312">
        <v>2</v>
      </c>
      <c r="J312" t="s">
        <v>129</v>
      </c>
      <c r="K312">
        <v>1.8</v>
      </c>
      <c r="M312" s="29">
        <f>VLOOKUP(A312,[1]!Consulta1[#All],2,FALSE)</f>
        <v>162</v>
      </c>
      <c r="O312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('162','51004','8265','8299','4','130','4.5','&lt;p&gt;ITA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()&lt;/p&gt;',1,1,3,'3.8','2.1','2','1.9','1.8','2025-09-30',now(),now(),2,'0.1','1');</v>
      </c>
      <c r="P312" s="30">
        <v>0.1</v>
      </c>
    </row>
    <row r="313" spans="1:16" x14ac:dyDescent="0.2">
      <c r="A313" t="s">
        <v>169</v>
      </c>
      <c r="B313" t="s">
        <v>166</v>
      </c>
      <c r="C313" s="29">
        <f>VLOOKUP(B313,[1]!Consulta1[#All],2,FALSE)</f>
        <v>529</v>
      </c>
      <c r="E313">
        <v>130</v>
      </c>
      <c r="F313">
        <v>4.5</v>
      </c>
      <c r="G313">
        <v>3.8</v>
      </c>
      <c r="H313">
        <v>2</v>
      </c>
      <c r="I313">
        <v>1.9</v>
      </c>
      <c r="J313" t="s">
        <v>126</v>
      </c>
      <c r="K313">
        <v>1.6</v>
      </c>
      <c r="M313" s="29">
        <f>VLOOKUP(A313,[1]!Consulta1[#All],2,FALSE)</f>
        <v>292</v>
      </c>
      <c r="O313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('292','529','8265','8299','4','130','4.5','&lt;p&gt;ITA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()&lt;/p&gt;',1,1,3,'3.8','2','1.9','1.8','1.6','2025-09-30',now(),now(),2,'0.1','1');</v>
      </c>
      <c r="P313" s="30">
        <v>0.1</v>
      </c>
    </row>
    <row r="314" spans="1:16" x14ac:dyDescent="0.2">
      <c r="A314" t="s">
        <v>170</v>
      </c>
      <c r="B314" t="s">
        <v>166</v>
      </c>
      <c r="C314" s="29">
        <f>VLOOKUP(B314,[1]!Consulta1[#All],2,FALSE)</f>
        <v>529</v>
      </c>
      <c r="E314">
        <v>130</v>
      </c>
      <c r="F314">
        <v>4.5</v>
      </c>
      <c r="G314">
        <v>3.8</v>
      </c>
      <c r="H314">
        <v>2</v>
      </c>
      <c r="I314">
        <v>1.9</v>
      </c>
      <c r="J314" t="s">
        <v>126</v>
      </c>
      <c r="K314">
        <v>1.6</v>
      </c>
      <c r="M314" s="29">
        <f>VLOOKUP(A314,[1]!Consulta1[#All],2,FALSE)</f>
        <v>162</v>
      </c>
      <c r="O314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('162','529','8265','8299','4','130','4.5','&lt;p&gt;ITA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()&lt;/p&gt;',1,1,3,'3.8','2','1.9','1.8','1.6','2025-09-30',now(),now(),2,'0.1','1');</v>
      </c>
      <c r="P314" s="30">
        <v>0.1</v>
      </c>
    </row>
    <row r="315" spans="1:16" x14ac:dyDescent="0.2">
      <c r="A315" t="s">
        <v>169</v>
      </c>
      <c r="B315" t="s">
        <v>167</v>
      </c>
      <c r="C315" s="29">
        <f>VLOOKUP(B315,[1]!Consulta1[#All],2,FALSE)</f>
        <v>50954</v>
      </c>
      <c r="E315">
        <v>130</v>
      </c>
      <c r="F315">
        <v>4.5</v>
      </c>
      <c r="G315">
        <v>3.8</v>
      </c>
      <c r="H315">
        <v>2</v>
      </c>
      <c r="I315">
        <v>1.9</v>
      </c>
      <c r="J315" t="s">
        <v>126</v>
      </c>
      <c r="K315">
        <v>1.6</v>
      </c>
      <c r="M315" s="29">
        <f>VLOOKUP(A315,[1]!Consulta1[#All],2,FALSE)</f>
        <v>292</v>
      </c>
      <c r="O315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('292','50954','8265','8299','4','130','4.5','&lt;p&gt;ITA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()&lt;/p&gt;',1,1,3,'3.8','2','1.9','1.8','1.6','2025-09-30',now(),now(),2,'0.1','1');</v>
      </c>
      <c r="P315" s="30">
        <v>0.1</v>
      </c>
    </row>
    <row r="316" spans="1:16" x14ac:dyDescent="0.2">
      <c r="A316" t="s">
        <v>170</v>
      </c>
      <c r="B316" t="s">
        <v>167</v>
      </c>
      <c r="C316" s="29">
        <f>VLOOKUP(B316,[1]!Consulta1[#All],2,FALSE)</f>
        <v>50954</v>
      </c>
      <c r="E316">
        <v>130</v>
      </c>
      <c r="F316">
        <v>4.5</v>
      </c>
      <c r="G316">
        <v>3.8</v>
      </c>
      <c r="H316">
        <v>2</v>
      </c>
      <c r="I316">
        <v>1.9</v>
      </c>
      <c r="J316" t="s">
        <v>126</v>
      </c>
      <c r="K316">
        <v>1.6</v>
      </c>
      <c r="M316" s="29">
        <f>VLOOKUP(A316,[1]!Consulta1[#All],2,FALSE)</f>
        <v>162</v>
      </c>
      <c r="O316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('162','50954','8265','8299','4','130','4.5','&lt;p&gt;ITA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()&lt;/p&gt;',1,1,3,'3.8','2','1.9','1.8','1.6','2025-09-30',now(),now(),2,'0.1','1');</v>
      </c>
      <c r="P316" s="30">
        <v>0.1</v>
      </c>
    </row>
    <row r="317" spans="1:16" x14ac:dyDescent="0.2">
      <c r="A317" t="s">
        <v>169</v>
      </c>
      <c r="B317" t="s">
        <v>52</v>
      </c>
      <c r="C317" s="29">
        <f>VLOOKUP(B317,[1]!Consulta1[#All],2,FALSE)</f>
        <v>39771</v>
      </c>
      <c r="E317">
        <v>130</v>
      </c>
      <c r="F317">
        <v>4.5</v>
      </c>
      <c r="G317">
        <v>3.8</v>
      </c>
      <c r="H317">
        <v>1.9</v>
      </c>
      <c r="I317">
        <v>1.8</v>
      </c>
      <c r="J317" t="s">
        <v>116</v>
      </c>
      <c r="K317">
        <v>1.6</v>
      </c>
      <c r="M317" s="29">
        <f>VLOOKUP(A317,[1]!Consulta1[#All],2,FALSE)</f>
        <v>292</v>
      </c>
      <c r="O317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('292','39771','8265','8299','4','130','4.5','&lt;p&gt;ITA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()&lt;/p&gt;',1,1,3,'3.8','1.9','1.8','1.7','1.6','2025-09-30',now(),now(),2,'0.1','1');</v>
      </c>
      <c r="P317" s="30">
        <v>0.1</v>
      </c>
    </row>
    <row r="318" spans="1:16" x14ac:dyDescent="0.2">
      <c r="A318" t="s">
        <v>170</v>
      </c>
      <c r="B318" t="s">
        <v>52</v>
      </c>
      <c r="C318" s="29">
        <f>VLOOKUP(B318,[1]!Consulta1[#All],2,FALSE)</f>
        <v>39771</v>
      </c>
      <c r="E318">
        <v>130</v>
      </c>
      <c r="F318">
        <v>4.5</v>
      </c>
      <c r="G318">
        <v>3.8</v>
      </c>
      <c r="H318">
        <v>1.9</v>
      </c>
      <c r="I318">
        <v>1.8</v>
      </c>
      <c r="J318" t="s">
        <v>116</v>
      </c>
      <c r="K318">
        <v>1.6</v>
      </c>
      <c r="M318" s="29">
        <f>VLOOKUP(A318,[1]!Consulta1[#All],2,FALSE)</f>
        <v>162</v>
      </c>
      <c r="O318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('162','39771','8265','8299','4','130','4.5','&lt;p&gt;ITA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()&lt;/p&gt;',1,1,3,'3.8','1.9','1.8','1.7','1.6','2025-09-30',now(),now(),2,'0.1','1');</v>
      </c>
      <c r="P318" s="30">
        <v>0.1</v>
      </c>
    </row>
    <row r="319" spans="1:16" x14ac:dyDescent="0.2">
      <c r="A319" t="s">
        <v>169</v>
      </c>
      <c r="B319" t="s">
        <v>53</v>
      </c>
      <c r="C319" s="29">
        <f>VLOOKUP(B319,[1]!Consulta1[#All],2,FALSE)</f>
        <v>51092</v>
      </c>
      <c r="E319">
        <v>130</v>
      </c>
      <c r="F319">
        <v>4.5</v>
      </c>
      <c r="G319">
        <v>3.8</v>
      </c>
      <c r="H319">
        <v>3.05</v>
      </c>
      <c r="I319">
        <v>2.95</v>
      </c>
      <c r="J319" t="s">
        <v>132</v>
      </c>
      <c r="K319">
        <v>2.75</v>
      </c>
      <c r="M319" s="29">
        <f>VLOOKUP(A319,[1]!Consulta1[#All],2,FALSE)</f>
        <v>292</v>
      </c>
      <c r="O319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('292','51092','8265','8299','4','130','4.5','&lt;p&gt;ITA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()&lt;/p&gt;',1,1,3,'3.8','3.05','2.95','2.85','2.75','2025-09-30',now(),now(),2,'0.1','1');</v>
      </c>
      <c r="P319" s="30">
        <v>0.1</v>
      </c>
    </row>
    <row r="320" spans="1:16" x14ac:dyDescent="0.2">
      <c r="A320" t="s">
        <v>170</v>
      </c>
      <c r="B320" t="s">
        <v>53</v>
      </c>
      <c r="C320" s="29">
        <f>VLOOKUP(B320,[1]!Consulta1[#All],2,FALSE)</f>
        <v>51092</v>
      </c>
      <c r="E320">
        <v>130</v>
      </c>
      <c r="F320">
        <v>4.5</v>
      </c>
      <c r="G320">
        <v>3.8</v>
      </c>
      <c r="H320">
        <v>3.05</v>
      </c>
      <c r="I320">
        <v>2.95</v>
      </c>
      <c r="J320" t="s">
        <v>132</v>
      </c>
      <c r="K320">
        <v>2.75</v>
      </c>
      <c r="M320" s="29">
        <f>VLOOKUP(A320,[1]!Consulta1[#All],2,FALSE)</f>
        <v>162</v>
      </c>
      <c r="O320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('162','51092','8265','8299','4','130','4.5','&lt;p&gt;ITA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()&lt;/p&gt;',1,1,3,'3.8','3.05','2.95','2.85','2.75','2025-09-30',now(),now(),2,'0.1','1');</v>
      </c>
      <c r="P320" s="30">
        <v>0.1</v>
      </c>
    </row>
    <row r="321" spans="1:16" x14ac:dyDescent="0.2">
      <c r="A321" t="s">
        <v>65</v>
      </c>
      <c r="B321" t="s">
        <v>47</v>
      </c>
      <c r="C321" s="29">
        <f>VLOOKUP(B321,[1]!Consulta1[#All],2,FALSE)</f>
        <v>50961</v>
      </c>
      <c r="E321">
        <v>100</v>
      </c>
      <c r="F321">
        <v>0.95</v>
      </c>
      <c r="G321">
        <v>0.95</v>
      </c>
      <c r="H321">
        <v>0.95</v>
      </c>
      <c r="I321">
        <v>0.95</v>
      </c>
      <c r="J321" t="s">
        <v>68</v>
      </c>
      <c r="K321">
        <v>0.8</v>
      </c>
      <c r="M321" s="29">
        <f>VLOOKUP(A321,[1]!Consulta1[#All],2,FALSE)</f>
        <v>594</v>
      </c>
      <c r="O321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('594','50961','8265','8299','4','100','0.95','&lt;p&gt;ITA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()&lt;/p&gt;',1,1,3,'0.95','0.95','0.95','0.85','0.8','2025-09-30',now(),now(),2,'0.1','1');</v>
      </c>
      <c r="P321" s="30">
        <v>0.1</v>
      </c>
    </row>
    <row r="322" spans="1:16" x14ac:dyDescent="0.2">
      <c r="A322" t="s">
        <v>65</v>
      </c>
      <c r="B322" t="s">
        <v>48</v>
      </c>
      <c r="C322" s="29">
        <f>VLOOKUP(B322,[1]!Consulta1[#All],2,FALSE)</f>
        <v>49720</v>
      </c>
      <c r="E322">
        <v>100</v>
      </c>
      <c r="F322">
        <v>1</v>
      </c>
      <c r="G322">
        <v>1</v>
      </c>
      <c r="H322">
        <v>1</v>
      </c>
      <c r="I322">
        <v>1</v>
      </c>
      <c r="J322" t="s">
        <v>74</v>
      </c>
      <c r="K322">
        <v>0.85</v>
      </c>
      <c r="M322" s="29">
        <f>VLOOKUP(A322,[1]!Consulta1[#All],2,FALSE)</f>
        <v>594</v>
      </c>
      <c r="O322" s="29" t="str">
        <f t="shared" si="4"/>
        <v>insert tariffs (origin_id,destin_id,provider_id,airline_id,comodity_id,min,n,comments,active,user_id,type_tariff,forty_five_more,hundred_more,three_hundred_more,five_hundred_more,thousand_more,f_end,created_at,updated_at,airchaft,cost, offer) values ('594','49720','8265','8299','4','100','1','&lt;p&gt;ITA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()&lt;/p&gt;',1,1,3,'1','1','1','0.95','0.85','2025-09-30',now(),now(),2,'0.1','1');</v>
      </c>
      <c r="P322" s="30">
        <v>0.1</v>
      </c>
    </row>
    <row r="323" spans="1:16" x14ac:dyDescent="0.2">
      <c r="A323" t="s">
        <v>65</v>
      </c>
      <c r="B323" t="s">
        <v>139</v>
      </c>
      <c r="C323" s="29">
        <f>VLOOKUP(B323,[1]!Consulta1[#All],2,FALSE)</f>
        <v>39776</v>
      </c>
      <c r="E323">
        <v>100</v>
      </c>
      <c r="F323">
        <v>4.5</v>
      </c>
      <c r="G323">
        <v>3.8</v>
      </c>
      <c r="H323">
        <v>1.5</v>
      </c>
      <c r="I323">
        <v>1.4</v>
      </c>
      <c r="J323" t="s">
        <v>81</v>
      </c>
      <c r="K323">
        <v>1.2</v>
      </c>
      <c r="M323" s="29">
        <f>VLOOKUP(A323,[1]!Consulta1[#All],2,FALSE)</f>
        <v>594</v>
      </c>
      <c r="O323" s="29" t="str">
        <f t="shared" ref="O323:O354" si="5">CONCATENATE("insert tariffs (origin_id,destin_id,provider_id,airline_id,comodity_id,min,n,comments,active,user_id,type_tariff,forty_five_more,hundred_more,three_hundred_more,five_hundred_more,thousand_more,f_end,created_at,updated_at,airchaft,cost, offer) values ('",M323,"','",C323,"','8265','8299','",$N$2,"','",E323,"','",F323,"','",$L$2,"',1,1,3,'",G323,"','",H323,"','",I323,"','",J323,"','",K323,"','2025-09-30',now(),now(),2,'",P323,"','1');")</f>
        <v>insert tariffs (origin_id,destin_id,provider_id,airline_id,comodity_id,min,n,comments,active,user_id,type_tariff,forty_five_more,hundred_more,three_hundred_more,five_hundred_more,thousand_more,f_end,created_at,updated_at,airchaft,cost, offer) values ('594','39776','8265','8299','4','100','4.5','&lt;p&gt;ITA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()&lt;/p&gt;',1,1,3,'3.8','1.5','1.4','1.3','1.2','2025-09-30',now(),now(),2,'0.1','1');</v>
      </c>
      <c r="P323" s="30">
        <v>0.1</v>
      </c>
    </row>
    <row r="324" spans="1:16" x14ac:dyDescent="0.2">
      <c r="A324" t="s">
        <v>65</v>
      </c>
      <c r="B324" t="s">
        <v>140</v>
      </c>
      <c r="C324" s="29">
        <f>VLOOKUP(B324,[1]!Consulta1[#All],2,FALSE)</f>
        <v>50708</v>
      </c>
      <c r="E324">
        <v>100</v>
      </c>
      <c r="F324">
        <v>4.5</v>
      </c>
      <c r="G324">
        <v>3.8</v>
      </c>
      <c r="H324">
        <v>1.5</v>
      </c>
      <c r="I324">
        <v>1.4</v>
      </c>
      <c r="J324" t="s">
        <v>81</v>
      </c>
      <c r="K324">
        <v>1.2</v>
      </c>
      <c r="M324" s="29">
        <f>VLOOKUP(A324,[1]!Consulta1[#All],2,FALSE)</f>
        <v>594</v>
      </c>
      <c r="O324" s="29" t="str">
        <f t="shared" si="5"/>
        <v>insert tariffs (origin_id,destin_id,provider_id,airline_id,comodity_id,min,n,comments,active,user_id,type_tariff,forty_five_more,hundred_more,three_hundred_more,five_hundred_more,thousand_more,f_end,created_at,updated_at,airchaft,cost, offer) values ('594','50708','8265','8299','4','100','4.5','&lt;p&gt;ITA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()&lt;/p&gt;',1,1,3,'3.8','1.5','1.4','1.3','1.2','2025-09-30',now(),now(),2,'0.1','1');</v>
      </c>
      <c r="P324" s="30">
        <v>0.1</v>
      </c>
    </row>
    <row r="325" spans="1:16" x14ac:dyDescent="0.2">
      <c r="A325" t="s">
        <v>65</v>
      </c>
      <c r="B325" t="s">
        <v>141</v>
      </c>
      <c r="C325" s="29">
        <f>VLOOKUP(B325,[1]!Consulta1[#All],2,FALSE)</f>
        <v>50977</v>
      </c>
      <c r="E325">
        <v>100</v>
      </c>
      <c r="F325">
        <v>1.7</v>
      </c>
      <c r="G325">
        <v>1.7</v>
      </c>
      <c r="H325">
        <v>1.35</v>
      </c>
      <c r="I325">
        <v>1.25</v>
      </c>
      <c r="J325" t="s">
        <v>92</v>
      </c>
      <c r="K325">
        <v>1.05</v>
      </c>
      <c r="M325" s="29">
        <f>VLOOKUP(A325,[1]!Consulta1[#All],2,FALSE)</f>
        <v>594</v>
      </c>
      <c r="O325" s="29" t="str">
        <f t="shared" si="5"/>
        <v>insert tariffs (origin_id,destin_id,provider_id,airline_id,comodity_id,min,n,comments,active,user_id,type_tariff,forty_five_more,hundred_more,three_hundred_more,five_hundred_more,thousand_more,f_end,created_at,updated_at,airchaft,cost, offer) values ('594','50977','8265','8299','4','100','1.7','&lt;p&gt;ITA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()&lt;/p&gt;',1,1,3,'1.7','1.35','1.25','1.15','1.05','2025-09-30',now(),now(),2,'0.1','1');</v>
      </c>
      <c r="P325" s="30">
        <v>0.1</v>
      </c>
    </row>
    <row r="326" spans="1:16" x14ac:dyDescent="0.2">
      <c r="A326" t="s">
        <v>65</v>
      </c>
      <c r="B326" t="s">
        <v>142</v>
      </c>
      <c r="C326" s="29">
        <f>VLOOKUP(B326,[1]!Consulta1[#All],2,FALSE)</f>
        <v>51126</v>
      </c>
      <c r="E326">
        <v>100</v>
      </c>
      <c r="F326">
        <v>1.7</v>
      </c>
      <c r="G326">
        <v>1.7</v>
      </c>
      <c r="H326">
        <v>1.35</v>
      </c>
      <c r="I326">
        <v>1.25</v>
      </c>
      <c r="J326" t="s">
        <v>92</v>
      </c>
      <c r="K326">
        <v>1.05</v>
      </c>
      <c r="M326" s="29">
        <f>VLOOKUP(A326,[1]!Consulta1[#All],2,FALSE)</f>
        <v>594</v>
      </c>
      <c r="O326" s="29" t="str">
        <f t="shared" si="5"/>
        <v>insert tariffs (origin_id,destin_id,provider_id,airline_id,comodity_id,min,n,comments,active,user_id,type_tariff,forty_five_more,hundred_more,three_hundred_more,five_hundred_more,thousand_more,f_end,created_at,updated_at,airchaft,cost, offer) values ('594','51126','8265','8299','4','100','1.7','&lt;p&gt;ITA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()&lt;/p&gt;',1,1,3,'1.7','1.35','1.25','1.15','1.05','2025-09-30',now(),now(),2,'0.1','1');</v>
      </c>
      <c r="P326" s="30">
        <v>0.1</v>
      </c>
    </row>
    <row r="327" spans="1:16" x14ac:dyDescent="0.2">
      <c r="A327" t="s">
        <v>65</v>
      </c>
      <c r="B327" t="s">
        <v>143</v>
      </c>
      <c r="C327" s="29">
        <f>VLOOKUP(B327,[1]!Consulta1[#All],2,FALSE)</f>
        <v>50969</v>
      </c>
      <c r="E327">
        <v>100</v>
      </c>
      <c r="F327">
        <v>1.7</v>
      </c>
      <c r="G327">
        <v>1.7</v>
      </c>
      <c r="H327">
        <v>1.35</v>
      </c>
      <c r="I327">
        <v>1.25</v>
      </c>
      <c r="J327" t="s">
        <v>92</v>
      </c>
      <c r="K327">
        <v>1.05</v>
      </c>
      <c r="M327" s="29">
        <f>VLOOKUP(A327,[1]!Consulta1[#All],2,FALSE)</f>
        <v>594</v>
      </c>
      <c r="O327" s="29" t="str">
        <f t="shared" si="5"/>
        <v>insert tariffs (origin_id,destin_id,provider_id,airline_id,comodity_id,min,n,comments,active,user_id,type_tariff,forty_five_more,hundred_more,three_hundred_more,five_hundred_more,thousand_more,f_end,created_at,updated_at,airchaft,cost, offer) values ('594','50969','8265','8299','4','100','1.7','&lt;p&gt;ITA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()&lt;/p&gt;',1,1,3,'1.7','1.35','1.25','1.15','1.05','2025-09-30',now(),now(),2,'0.1','1');</v>
      </c>
      <c r="P327" s="30">
        <v>0.1</v>
      </c>
    </row>
    <row r="328" spans="1:16" x14ac:dyDescent="0.2">
      <c r="A328" t="s">
        <v>65</v>
      </c>
      <c r="B328" t="s">
        <v>144</v>
      </c>
      <c r="C328" s="29">
        <f>VLOOKUP(B328,[1]!Consulta1[#All],2,FALSE)</f>
        <v>50970</v>
      </c>
      <c r="E328">
        <v>100</v>
      </c>
      <c r="F328">
        <v>1.7</v>
      </c>
      <c r="G328">
        <v>1.7</v>
      </c>
      <c r="H328">
        <v>1.35</v>
      </c>
      <c r="I328">
        <v>1.25</v>
      </c>
      <c r="J328" t="s">
        <v>92</v>
      </c>
      <c r="K328">
        <v>1.05</v>
      </c>
      <c r="M328" s="29">
        <f>VLOOKUP(A328,[1]!Consulta1[#All],2,FALSE)</f>
        <v>594</v>
      </c>
      <c r="O328" s="29" t="str">
        <f t="shared" si="5"/>
        <v>insert tariffs (origin_id,destin_id,provider_id,airline_id,comodity_id,min,n,comments,active,user_id,type_tariff,forty_five_more,hundred_more,three_hundred_more,five_hundred_more,thousand_more,f_end,created_at,updated_at,airchaft,cost, offer) values ('594','50970','8265','8299','4','100','1.7','&lt;p&gt;ITA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()&lt;/p&gt;',1,1,3,'1.7','1.35','1.25','1.15','1.05','2025-09-30',now(),now(),2,'0.1','1');</v>
      </c>
      <c r="P328" s="30">
        <v>0.1</v>
      </c>
    </row>
    <row r="329" spans="1:16" x14ac:dyDescent="0.2">
      <c r="A329" t="s">
        <v>65</v>
      </c>
      <c r="B329" t="s">
        <v>145</v>
      </c>
      <c r="C329" s="29">
        <f>VLOOKUP(B329,[1]!Consulta1[#All],2,FALSE)</f>
        <v>50972</v>
      </c>
      <c r="E329">
        <v>100</v>
      </c>
      <c r="F329">
        <v>1.7</v>
      </c>
      <c r="G329">
        <v>1.7</v>
      </c>
      <c r="H329">
        <v>1.35</v>
      </c>
      <c r="I329">
        <v>1.25</v>
      </c>
      <c r="J329" t="s">
        <v>92</v>
      </c>
      <c r="K329">
        <v>1.05</v>
      </c>
      <c r="M329" s="29">
        <f>VLOOKUP(A329,[1]!Consulta1[#All],2,FALSE)</f>
        <v>594</v>
      </c>
      <c r="O329" s="29" t="str">
        <f t="shared" si="5"/>
        <v>insert tariffs (origin_id,destin_id,provider_id,airline_id,comodity_id,min,n,comments,active,user_id,type_tariff,forty_five_more,hundred_more,three_hundred_more,five_hundred_more,thousand_more,f_end,created_at,updated_at,airchaft,cost, offer) values ('594','50972','8265','8299','4','100','1.7','&lt;p&gt;ITA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()&lt;/p&gt;',1,1,3,'1.7','1.35','1.25','1.15','1.05','2025-09-30',now(),now(),2,'0.1','1');</v>
      </c>
      <c r="P329" s="30">
        <v>0.1</v>
      </c>
    </row>
    <row r="330" spans="1:16" x14ac:dyDescent="0.2">
      <c r="A330" t="s">
        <v>65</v>
      </c>
      <c r="B330" t="s">
        <v>146</v>
      </c>
      <c r="C330" s="29">
        <f>VLOOKUP(B330,[1]!Consulta1[#All],2,FALSE)</f>
        <v>51381</v>
      </c>
      <c r="E330">
        <v>100</v>
      </c>
      <c r="F330">
        <v>1.7</v>
      </c>
      <c r="G330">
        <v>1.7</v>
      </c>
      <c r="H330">
        <v>1.35</v>
      </c>
      <c r="I330">
        <v>1.25</v>
      </c>
      <c r="J330" t="s">
        <v>92</v>
      </c>
      <c r="K330">
        <v>1.05</v>
      </c>
      <c r="M330" s="29">
        <f>VLOOKUP(A330,[1]!Consulta1[#All],2,FALSE)</f>
        <v>594</v>
      </c>
      <c r="O330" s="29" t="str">
        <f t="shared" si="5"/>
        <v>insert tariffs (origin_id,destin_id,provider_id,airline_id,comodity_id,min,n,comments,active,user_id,type_tariff,forty_five_more,hundred_more,three_hundred_more,five_hundred_more,thousand_more,f_end,created_at,updated_at,airchaft,cost, offer) values ('594','51381','8265','8299','4','100','1.7','&lt;p&gt;ITA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()&lt;/p&gt;',1,1,3,'1.7','1.35','1.25','1.15','1.05','2025-09-30',now(),now(),2,'0.1','1');</v>
      </c>
      <c r="P330" s="30">
        <v>0.1</v>
      </c>
    </row>
    <row r="331" spans="1:16" x14ac:dyDescent="0.2">
      <c r="A331" t="s">
        <v>65</v>
      </c>
      <c r="B331" t="s">
        <v>147</v>
      </c>
      <c r="C331" s="29">
        <f>VLOOKUP(B331,[1]!Consulta1[#All],2,FALSE)</f>
        <v>51285</v>
      </c>
      <c r="E331">
        <v>100</v>
      </c>
      <c r="F331">
        <v>1.7</v>
      </c>
      <c r="G331">
        <v>1.7</v>
      </c>
      <c r="H331">
        <v>1.35</v>
      </c>
      <c r="I331">
        <v>1.25</v>
      </c>
      <c r="J331" t="s">
        <v>92</v>
      </c>
      <c r="K331">
        <v>1.05</v>
      </c>
      <c r="M331" s="29">
        <f>VLOOKUP(A331,[1]!Consulta1[#All],2,FALSE)</f>
        <v>594</v>
      </c>
      <c r="O331" s="29" t="str">
        <f t="shared" si="5"/>
        <v>insert tariffs (origin_id,destin_id,provider_id,airline_id,comodity_id,min,n,comments,active,user_id,type_tariff,forty_five_more,hundred_more,three_hundred_more,five_hundred_more,thousand_more,f_end,created_at,updated_at,airchaft,cost, offer) values ('594','51285','8265','8299','4','100','1.7','&lt;p&gt;ITA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()&lt;/p&gt;',1,1,3,'1.7','1.35','1.25','1.15','1.05','2025-09-30',now(),now(),2,'0.1','1');</v>
      </c>
      <c r="P331" s="30">
        <v>0.1</v>
      </c>
    </row>
    <row r="332" spans="1:16" x14ac:dyDescent="0.2">
      <c r="A332" t="s">
        <v>65</v>
      </c>
      <c r="B332" t="s">
        <v>148</v>
      </c>
      <c r="C332" s="29">
        <f>VLOOKUP(B332,[1]!Consulta1[#All],2,FALSE)</f>
        <v>51147</v>
      </c>
      <c r="E332">
        <v>100</v>
      </c>
      <c r="F332">
        <v>1.7</v>
      </c>
      <c r="G332">
        <v>1.7</v>
      </c>
      <c r="H332">
        <v>1.35</v>
      </c>
      <c r="I332">
        <v>1.25</v>
      </c>
      <c r="J332" t="s">
        <v>92</v>
      </c>
      <c r="K332">
        <v>1.05</v>
      </c>
      <c r="M332" s="29">
        <f>VLOOKUP(A332,[1]!Consulta1[#All],2,FALSE)</f>
        <v>594</v>
      </c>
      <c r="O332" s="29" t="str">
        <f t="shared" si="5"/>
        <v>insert tariffs (origin_id,destin_id,provider_id,airline_id,comodity_id,min,n,comments,active,user_id,type_tariff,forty_five_more,hundred_more,three_hundred_more,five_hundred_more,thousand_more,f_end,created_at,updated_at,airchaft,cost, offer) values ('594','51147','8265','8299','4','100','1.7','&lt;p&gt;ITA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()&lt;/p&gt;',1,1,3,'1.7','1.35','1.25','1.15','1.05','2025-09-30',now(),now(),2,'0.1','1');</v>
      </c>
      <c r="P332" s="30">
        <v>0.1</v>
      </c>
    </row>
    <row r="333" spans="1:16" x14ac:dyDescent="0.2">
      <c r="A333" t="s">
        <v>65</v>
      </c>
      <c r="B333" t="s">
        <v>149</v>
      </c>
      <c r="C333" s="29">
        <f>VLOOKUP(B333,[1]!Consulta1[#All],2,FALSE)</f>
        <v>53322</v>
      </c>
      <c r="E333">
        <v>100</v>
      </c>
      <c r="F333">
        <v>1.7</v>
      </c>
      <c r="G333">
        <v>1.7</v>
      </c>
      <c r="H333">
        <v>1.35</v>
      </c>
      <c r="I333">
        <v>1.25</v>
      </c>
      <c r="J333" t="s">
        <v>92</v>
      </c>
      <c r="K333">
        <v>1.05</v>
      </c>
      <c r="M333" s="29">
        <f>VLOOKUP(A333,[1]!Consulta1[#All],2,FALSE)</f>
        <v>594</v>
      </c>
      <c r="O333" s="29" t="str">
        <f t="shared" si="5"/>
        <v>insert tariffs (origin_id,destin_id,provider_id,airline_id,comodity_id,min,n,comments,active,user_id,type_tariff,forty_five_more,hundred_more,three_hundred_more,five_hundred_more,thousand_more,f_end,created_at,updated_at,airchaft,cost, offer) values ('594','53322','8265','8299','4','100','1.7','&lt;p&gt;ITA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()&lt;/p&gt;',1,1,3,'1.7','1.35','1.25','1.15','1.05','2025-09-30',now(),now(),2,'0.1','1');</v>
      </c>
      <c r="P333" s="30">
        <v>0.1</v>
      </c>
    </row>
    <row r="334" spans="1:16" x14ac:dyDescent="0.2">
      <c r="A334" t="s">
        <v>65</v>
      </c>
      <c r="B334" t="s">
        <v>150</v>
      </c>
      <c r="C334" s="29">
        <f>VLOOKUP(B334,[1]!Consulta1[#All],2,FALSE)</f>
        <v>51286</v>
      </c>
      <c r="E334">
        <v>100</v>
      </c>
      <c r="F334">
        <v>1.7</v>
      </c>
      <c r="G334">
        <v>1.7</v>
      </c>
      <c r="H334">
        <v>1.35</v>
      </c>
      <c r="I334">
        <v>1.25</v>
      </c>
      <c r="J334" t="s">
        <v>92</v>
      </c>
      <c r="K334">
        <v>1.05</v>
      </c>
      <c r="M334" s="29">
        <f>VLOOKUP(A334,[1]!Consulta1[#All],2,FALSE)</f>
        <v>594</v>
      </c>
      <c r="O334" s="29" t="str">
        <f t="shared" si="5"/>
        <v>insert tariffs (origin_id,destin_id,provider_id,airline_id,comodity_id,min,n,comments,active,user_id,type_tariff,forty_five_more,hundred_more,three_hundred_more,five_hundred_more,thousand_more,f_end,created_at,updated_at,airchaft,cost, offer) values ('594','51286','8265','8299','4','100','1.7','&lt;p&gt;ITA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()&lt;/p&gt;',1,1,3,'1.7','1.35','1.25','1.15','1.05','2025-09-30',now(),now(),2,'0.1','1');</v>
      </c>
      <c r="P334" s="30">
        <v>0.1</v>
      </c>
    </row>
    <row r="335" spans="1:16" x14ac:dyDescent="0.2">
      <c r="A335" t="s">
        <v>65</v>
      </c>
      <c r="B335" t="s">
        <v>151</v>
      </c>
      <c r="C335" s="29">
        <f>VLOOKUP(B335,[1]!Consulta1[#All],2,FALSE)</f>
        <v>51287</v>
      </c>
      <c r="E335">
        <v>100</v>
      </c>
      <c r="F335">
        <v>1.7</v>
      </c>
      <c r="G335">
        <v>1.7</v>
      </c>
      <c r="H335">
        <v>1.35</v>
      </c>
      <c r="I335">
        <v>1.25</v>
      </c>
      <c r="J335" t="s">
        <v>92</v>
      </c>
      <c r="K335">
        <v>1.05</v>
      </c>
      <c r="M335" s="29">
        <f>VLOOKUP(A335,[1]!Consulta1[#All],2,FALSE)</f>
        <v>594</v>
      </c>
      <c r="O335" s="29" t="str">
        <f t="shared" si="5"/>
        <v>insert tariffs (origin_id,destin_id,provider_id,airline_id,comodity_id,min,n,comments,active,user_id,type_tariff,forty_five_more,hundred_more,three_hundred_more,five_hundred_more,thousand_more,f_end,created_at,updated_at,airchaft,cost, offer) values ('594','51287','8265','8299','4','100','1.7','&lt;p&gt;ITA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()&lt;/p&gt;',1,1,3,'1.7','1.35','1.25','1.15','1.05','2025-09-30',now(),now(),2,'0.1','1');</v>
      </c>
      <c r="P335" s="30">
        <v>0.1</v>
      </c>
    </row>
    <row r="336" spans="1:16" x14ac:dyDescent="0.2">
      <c r="A336" t="s">
        <v>65</v>
      </c>
      <c r="B336" t="s">
        <v>152</v>
      </c>
      <c r="C336" s="29">
        <f>VLOOKUP(B336,[1]!Consulta1[#All],2,FALSE)</f>
        <v>1097</v>
      </c>
      <c r="E336">
        <v>100</v>
      </c>
      <c r="F336">
        <v>1.55</v>
      </c>
      <c r="G336">
        <v>1.55</v>
      </c>
      <c r="H336">
        <v>1.2</v>
      </c>
      <c r="I336">
        <v>1.1000000000000001</v>
      </c>
      <c r="J336" t="s">
        <v>73</v>
      </c>
      <c r="K336">
        <v>0.9</v>
      </c>
      <c r="M336" s="29">
        <f>VLOOKUP(A336,[1]!Consulta1[#All],2,FALSE)</f>
        <v>594</v>
      </c>
      <c r="O336" s="29" t="str">
        <f t="shared" si="5"/>
        <v>insert tariffs (origin_id,destin_id,provider_id,airline_id,comodity_id,min,n,comments,active,user_id,type_tariff,forty_five_more,hundred_more,three_hundred_more,five_hundred_more,thousand_more,f_end,created_at,updated_at,airchaft,cost, offer) values ('594','1097','8265','8299','4','100','1.55','&lt;p&gt;ITA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()&lt;/p&gt;',1,1,3,'1.55','1.2','1.1','1','0.9','2025-09-30',now(),now(),2,'0.1','1');</v>
      </c>
      <c r="P336" s="30">
        <v>0.1</v>
      </c>
    </row>
    <row r="337" spans="1:16" x14ac:dyDescent="0.2">
      <c r="A337" t="s">
        <v>65</v>
      </c>
      <c r="B337" t="s">
        <v>153</v>
      </c>
      <c r="C337" s="29">
        <f>VLOOKUP(B337,[1]!Consulta1[#All],2,FALSE)</f>
        <v>39774</v>
      </c>
      <c r="E337">
        <v>100</v>
      </c>
      <c r="F337">
        <v>1.55</v>
      </c>
      <c r="G337">
        <v>1.55</v>
      </c>
      <c r="H337">
        <v>1.2</v>
      </c>
      <c r="I337">
        <v>1.1000000000000001</v>
      </c>
      <c r="J337" t="s">
        <v>73</v>
      </c>
      <c r="K337">
        <v>0.9</v>
      </c>
      <c r="M337" s="29">
        <f>VLOOKUP(A337,[1]!Consulta1[#All],2,FALSE)</f>
        <v>594</v>
      </c>
      <c r="O337" s="29" t="str">
        <f t="shared" si="5"/>
        <v>insert tariffs (origin_id,destin_id,provider_id,airline_id,comodity_id,min,n,comments,active,user_id,type_tariff,forty_five_more,hundred_more,three_hundred_more,five_hundred_more,thousand_more,f_end,created_at,updated_at,airchaft,cost, offer) values ('594','39774','8265','8299','4','100','1.55','&lt;p&gt;ITA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()&lt;/p&gt;',1,1,3,'1.55','1.2','1.1','1','0.9','2025-09-30',now(),now(),2,'0.1','1');</v>
      </c>
      <c r="P337" s="30">
        <v>0.1</v>
      </c>
    </row>
    <row r="338" spans="1:16" x14ac:dyDescent="0.2">
      <c r="A338" t="s">
        <v>65</v>
      </c>
      <c r="B338" t="s">
        <v>154</v>
      </c>
      <c r="C338" s="29">
        <f>VLOOKUP(B338,[1]!Consulta1[#All],2,FALSE)</f>
        <v>50862</v>
      </c>
      <c r="E338">
        <v>100</v>
      </c>
      <c r="F338">
        <v>1.55</v>
      </c>
      <c r="G338">
        <v>1.55</v>
      </c>
      <c r="H338">
        <v>1.2</v>
      </c>
      <c r="I338">
        <v>1.1000000000000001</v>
      </c>
      <c r="J338" t="s">
        <v>73</v>
      </c>
      <c r="K338">
        <v>0.9</v>
      </c>
      <c r="M338" s="29">
        <f>VLOOKUP(A338,[1]!Consulta1[#All],2,FALSE)</f>
        <v>594</v>
      </c>
      <c r="O338" s="29" t="str">
        <f t="shared" si="5"/>
        <v>insert tariffs (origin_id,destin_id,provider_id,airline_id,comodity_id,min,n,comments,active,user_id,type_tariff,forty_five_more,hundred_more,three_hundred_more,five_hundred_more,thousand_more,f_end,created_at,updated_at,airchaft,cost, offer) values ('594','50862','8265','8299','4','100','1.55','&lt;p&gt;ITA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()&lt;/p&gt;',1,1,3,'1.55','1.2','1.1','1','0.9','2025-09-30',now(),now(),2,'0.1','1');</v>
      </c>
      <c r="P338" s="30">
        <v>0.1</v>
      </c>
    </row>
    <row r="339" spans="1:16" x14ac:dyDescent="0.2">
      <c r="A339" t="s">
        <v>65</v>
      </c>
      <c r="B339" t="s">
        <v>155</v>
      </c>
      <c r="C339" s="29">
        <f>VLOOKUP(B339,[1]!Consulta1[#All],2,FALSE)</f>
        <v>39775</v>
      </c>
      <c r="E339">
        <v>100</v>
      </c>
      <c r="F339">
        <v>1.55</v>
      </c>
      <c r="G339">
        <v>1.55</v>
      </c>
      <c r="H339">
        <v>1.2</v>
      </c>
      <c r="I339">
        <v>1.1000000000000001</v>
      </c>
      <c r="J339" t="s">
        <v>73</v>
      </c>
      <c r="K339">
        <v>0.9</v>
      </c>
      <c r="M339" s="29">
        <f>VLOOKUP(A339,[1]!Consulta1[#All],2,FALSE)</f>
        <v>594</v>
      </c>
      <c r="O339" s="29" t="str">
        <f t="shared" si="5"/>
        <v>insert tariffs (origin_id,destin_id,provider_id,airline_id,comodity_id,min,n,comments,active,user_id,type_tariff,forty_five_more,hundred_more,three_hundred_more,five_hundred_more,thousand_more,f_end,created_at,updated_at,airchaft,cost, offer) values ('594','39775','8265','8299','4','100','1.55','&lt;p&gt;ITA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()&lt;/p&gt;',1,1,3,'1.55','1.2','1.1','1','0.9','2025-09-30',now(),now(),2,'0.1','1');</v>
      </c>
      <c r="P339" s="30">
        <v>0.1</v>
      </c>
    </row>
    <row r="340" spans="1:16" x14ac:dyDescent="0.2">
      <c r="A340" t="s">
        <v>65</v>
      </c>
      <c r="B340" t="s">
        <v>156</v>
      </c>
      <c r="C340" s="29">
        <f>VLOOKUP(B340,[1]!Consulta1[#All],2,FALSE)</f>
        <v>50842</v>
      </c>
      <c r="E340">
        <v>100</v>
      </c>
      <c r="F340">
        <v>1.55</v>
      </c>
      <c r="G340">
        <v>1.55</v>
      </c>
      <c r="H340">
        <v>1.2</v>
      </c>
      <c r="I340">
        <v>1.1000000000000001</v>
      </c>
      <c r="J340" t="s">
        <v>73</v>
      </c>
      <c r="K340">
        <v>0.9</v>
      </c>
      <c r="M340" s="29">
        <f>VLOOKUP(A340,[1]!Consulta1[#All],2,FALSE)</f>
        <v>594</v>
      </c>
      <c r="O340" s="29" t="str">
        <f t="shared" si="5"/>
        <v>insert tariffs (origin_id,destin_id,provider_id,airline_id,comodity_id,min,n,comments,active,user_id,type_tariff,forty_five_more,hundred_more,three_hundred_more,five_hundred_more,thousand_more,f_end,created_at,updated_at,airchaft,cost, offer) values ('594','50842','8265','8299','4','100','1.55','&lt;p&gt;ITA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()&lt;/p&gt;',1,1,3,'1.55','1.2','1.1','1','0.9','2025-09-30',now(),now(),2,'0.1','1');</v>
      </c>
      <c r="P340" s="30">
        <v>0.1</v>
      </c>
    </row>
    <row r="341" spans="1:16" x14ac:dyDescent="0.2">
      <c r="A341" t="s">
        <v>65</v>
      </c>
      <c r="B341" t="s">
        <v>158</v>
      </c>
      <c r="C341" s="29">
        <f>VLOOKUP(B341,[1]!Consulta1[#All],2,FALSE)</f>
        <v>50908</v>
      </c>
      <c r="E341">
        <v>100</v>
      </c>
      <c r="F341">
        <v>1.55</v>
      </c>
      <c r="G341">
        <v>1.55</v>
      </c>
      <c r="H341">
        <v>1.2</v>
      </c>
      <c r="I341">
        <v>1.1000000000000001</v>
      </c>
      <c r="J341" t="s">
        <v>73</v>
      </c>
      <c r="K341">
        <v>0.9</v>
      </c>
      <c r="M341" s="29">
        <f>VLOOKUP(A341,[1]!Consulta1[#All],2,FALSE)</f>
        <v>594</v>
      </c>
      <c r="O341" s="29" t="str">
        <f t="shared" si="5"/>
        <v>insert tariffs (origin_id,destin_id,provider_id,airline_id,comodity_id,min,n,comments,active,user_id,type_tariff,forty_five_more,hundred_more,three_hundred_more,five_hundred_more,thousand_more,f_end,created_at,updated_at,airchaft,cost, offer) values ('594','50908','8265','8299','4','100','1.55','&lt;p&gt;ITA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()&lt;/p&gt;',1,1,3,'1.55','1.2','1.1','1','0.9','2025-09-30',now(),now(),2,'0.1','1');</v>
      </c>
      <c r="P341" s="30">
        <v>0.1</v>
      </c>
    </row>
    <row r="342" spans="1:16" x14ac:dyDescent="0.2">
      <c r="A342" t="s">
        <v>65</v>
      </c>
      <c r="B342" t="s">
        <v>159</v>
      </c>
      <c r="C342" s="29">
        <f>VLOOKUP(B342,[1]!Consulta1[#All],2,FALSE)</f>
        <v>50909</v>
      </c>
      <c r="E342">
        <v>100</v>
      </c>
      <c r="F342">
        <v>1.55</v>
      </c>
      <c r="G342">
        <v>1.55</v>
      </c>
      <c r="H342">
        <v>1.2</v>
      </c>
      <c r="I342">
        <v>1.1000000000000001</v>
      </c>
      <c r="J342" t="s">
        <v>73</v>
      </c>
      <c r="K342">
        <v>0.9</v>
      </c>
      <c r="M342" s="29">
        <f>VLOOKUP(A342,[1]!Consulta1[#All],2,FALSE)</f>
        <v>594</v>
      </c>
      <c r="O342" s="29" t="str">
        <f t="shared" si="5"/>
        <v>insert tariffs (origin_id,destin_id,provider_id,airline_id,comodity_id,min,n,comments,active,user_id,type_tariff,forty_five_more,hundred_more,three_hundred_more,five_hundred_more,thousand_more,f_end,created_at,updated_at,airchaft,cost, offer) values ('594','50909','8265','8299','4','100','1.55','&lt;p&gt;ITA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()&lt;/p&gt;',1,1,3,'1.55','1.2','1.1','1','0.9','2025-09-30',now(),now(),2,'0.1','1');</v>
      </c>
      <c r="P342" s="30">
        <v>0.1</v>
      </c>
    </row>
    <row r="343" spans="1:16" x14ac:dyDescent="0.2">
      <c r="A343" t="s">
        <v>65</v>
      </c>
      <c r="B343" t="s">
        <v>160</v>
      </c>
      <c r="C343" s="29">
        <f>VLOOKUP(B343,[1]!Consulta1[#All],2,FALSE)</f>
        <v>39778</v>
      </c>
      <c r="E343">
        <v>100</v>
      </c>
      <c r="F343">
        <v>1.55</v>
      </c>
      <c r="G343">
        <v>1.55</v>
      </c>
      <c r="H343">
        <v>1.2</v>
      </c>
      <c r="I343">
        <v>1.1000000000000001</v>
      </c>
      <c r="J343" t="s">
        <v>73</v>
      </c>
      <c r="K343">
        <v>0.9</v>
      </c>
      <c r="M343" s="29">
        <f>VLOOKUP(A343,[1]!Consulta1[#All],2,FALSE)</f>
        <v>594</v>
      </c>
      <c r="O343" s="29" t="str">
        <f t="shared" si="5"/>
        <v>insert tariffs (origin_id,destin_id,provider_id,airline_id,comodity_id,min,n,comments,active,user_id,type_tariff,forty_five_more,hundred_more,three_hundred_more,five_hundred_more,thousand_more,f_end,created_at,updated_at,airchaft,cost, offer) values ('594','39778','8265','8299','4','100','1.55','&lt;p&gt;ITA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()&lt;/p&gt;',1,1,3,'1.55','1.2','1.1','1','0.9','2025-09-30',now(),now(),2,'0.1','1');</v>
      </c>
      <c r="P343" s="30">
        <v>0.1</v>
      </c>
    </row>
    <row r="344" spans="1:16" x14ac:dyDescent="0.2">
      <c r="A344" t="s">
        <v>65</v>
      </c>
      <c r="B344" t="s">
        <v>161</v>
      </c>
      <c r="C344" s="29">
        <f>VLOOKUP(B344,[1]!Consulta1[#All],2,FALSE)</f>
        <v>50914</v>
      </c>
      <c r="E344">
        <v>100</v>
      </c>
      <c r="F344">
        <v>1.55</v>
      </c>
      <c r="G344">
        <v>1.55</v>
      </c>
      <c r="H344">
        <v>1.2</v>
      </c>
      <c r="I344">
        <v>1.1000000000000001</v>
      </c>
      <c r="J344" t="s">
        <v>73</v>
      </c>
      <c r="K344">
        <v>0.9</v>
      </c>
      <c r="M344" s="29">
        <f>VLOOKUP(A344,[1]!Consulta1[#All],2,FALSE)</f>
        <v>594</v>
      </c>
      <c r="O344" s="29" t="str">
        <f t="shared" si="5"/>
        <v>insert tariffs (origin_id,destin_id,provider_id,airline_id,comodity_id,min,n,comments,active,user_id,type_tariff,forty_five_more,hundred_more,three_hundred_more,five_hundred_more,thousand_more,f_end,created_at,updated_at,airchaft,cost, offer) values ('594','50914','8265','8299','4','100','1.55','&lt;p&gt;ITA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()&lt;/p&gt;',1,1,3,'1.55','1.2','1.1','1','0.9','2025-09-30',now(),now(),2,'0.1','1');</v>
      </c>
      <c r="P344" s="30">
        <v>0.1</v>
      </c>
    </row>
    <row r="345" spans="1:16" x14ac:dyDescent="0.2">
      <c r="A345" t="s">
        <v>65</v>
      </c>
      <c r="B345" t="s">
        <v>162</v>
      </c>
      <c r="C345" s="29">
        <f>VLOOKUP(B345,[1]!Consulta1[#All],2,FALSE)</f>
        <v>51114</v>
      </c>
      <c r="E345">
        <v>100</v>
      </c>
      <c r="F345">
        <v>1.55</v>
      </c>
      <c r="G345">
        <v>1.55</v>
      </c>
      <c r="H345">
        <v>1.2</v>
      </c>
      <c r="I345">
        <v>1.1000000000000001</v>
      </c>
      <c r="J345" t="s">
        <v>73</v>
      </c>
      <c r="K345">
        <v>0.9</v>
      </c>
      <c r="M345" s="29">
        <f>VLOOKUP(A345,[1]!Consulta1[#All],2,FALSE)</f>
        <v>594</v>
      </c>
      <c r="O345" s="29" t="str">
        <f t="shared" si="5"/>
        <v>insert tariffs (origin_id,destin_id,provider_id,airline_id,comodity_id,min,n,comments,active,user_id,type_tariff,forty_five_more,hundred_more,three_hundred_more,five_hundred_more,thousand_more,f_end,created_at,updated_at,airchaft,cost, offer) values ('594','51114','8265','8299','4','100','1.55','&lt;p&gt;ITA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()&lt;/p&gt;',1,1,3,'1.55','1.2','1.1','1','0.9','2025-09-30',now(),now(),2,'0.1','1');</v>
      </c>
      <c r="P345" s="30">
        <v>0.1</v>
      </c>
    </row>
    <row r="346" spans="1:16" x14ac:dyDescent="0.2">
      <c r="A346" t="s">
        <v>65</v>
      </c>
      <c r="B346" t="s">
        <v>163</v>
      </c>
      <c r="C346" s="29">
        <f>VLOOKUP(B346,[1]!Consulta1[#All],2,FALSE)</f>
        <v>51120</v>
      </c>
      <c r="E346">
        <v>100</v>
      </c>
      <c r="F346">
        <v>1.55</v>
      </c>
      <c r="G346">
        <v>1.55</v>
      </c>
      <c r="H346">
        <v>1.2</v>
      </c>
      <c r="I346">
        <v>1.1000000000000001</v>
      </c>
      <c r="J346" t="s">
        <v>73</v>
      </c>
      <c r="K346">
        <v>0.9</v>
      </c>
      <c r="M346" s="29">
        <f>VLOOKUP(A346,[1]!Consulta1[#All],2,FALSE)</f>
        <v>594</v>
      </c>
      <c r="O346" s="29" t="str">
        <f t="shared" si="5"/>
        <v>insert tariffs (origin_id,destin_id,provider_id,airline_id,comodity_id,min,n,comments,active,user_id,type_tariff,forty_five_more,hundred_more,three_hundred_more,five_hundred_more,thousand_more,f_end,created_at,updated_at,airchaft,cost, offer) values ('594','51120','8265','8299','4','100','1.55','&lt;p&gt;ITA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()&lt;/p&gt;',1,1,3,'1.55','1.2','1.1','1','0.9','2025-09-30',now(),now(),2,'0.1','1');</v>
      </c>
      <c r="P346" s="30">
        <v>0.1</v>
      </c>
    </row>
    <row r="347" spans="1:16" x14ac:dyDescent="0.2">
      <c r="A347" t="s">
        <v>65</v>
      </c>
      <c r="B347" t="s">
        <v>157</v>
      </c>
      <c r="C347" s="29">
        <f>VLOOKUP(B347,[1]!Consulta1[#All],2,FALSE)</f>
        <v>50995</v>
      </c>
      <c r="E347">
        <v>100</v>
      </c>
      <c r="F347">
        <v>1.55</v>
      </c>
      <c r="G347">
        <v>1.55</v>
      </c>
      <c r="H347">
        <v>1.2</v>
      </c>
      <c r="I347">
        <v>1.1000000000000001</v>
      </c>
      <c r="J347" t="s">
        <v>73</v>
      </c>
      <c r="K347">
        <v>0.9</v>
      </c>
      <c r="M347" s="29">
        <f>VLOOKUP(A347,[1]!Consulta1[#All],2,FALSE)</f>
        <v>594</v>
      </c>
      <c r="O347" s="29" t="str">
        <f t="shared" si="5"/>
        <v>insert tariffs (origin_id,destin_id,provider_id,airline_id,comodity_id,min,n,comments,active,user_id,type_tariff,forty_five_more,hundred_more,three_hundred_more,five_hundred_more,thousand_more,f_end,created_at,updated_at,airchaft,cost, offer) values ('594','50995','8265','8299','4','100','1.55','&lt;p&gt;ITA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()&lt;/p&gt;',1,1,3,'1.55','1.2','1.1','1','0.9','2025-09-30',now(),now(),2,'0.1','1');</v>
      </c>
      <c r="P347" s="30">
        <v>0.1</v>
      </c>
    </row>
    <row r="348" spans="1:16" x14ac:dyDescent="0.2">
      <c r="A348" t="s">
        <v>65</v>
      </c>
      <c r="B348" t="s">
        <v>52</v>
      </c>
      <c r="C348" s="29">
        <f>VLOOKUP(B348,[1]!Consulta1[#All],2,FALSE)</f>
        <v>39771</v>
      </c>
      <c r="E348">
        <v>100</v>
      </c>
      <c r="F348">
        <v>4.5</v>
      </c>
      <c r="G348">
        <v>3.8</v>
      </c>
      <c r="H348">
        <v>1.55</v>
      </c>
      <c r="I348">
        <v>1.45</v>
      </c>
      <c r="J348" t="s">
        <v>107</v>
      </c>
      <c r="K348">
        <v>1.25</v>
      </c>
      <c r="M348" s="29">
        <f>VLOOKUP(A348,[1]!Consulta1[#All],2,FALSE)</f>
        <v>594</v>
      </c>
      <c r="O348" s="29" t="str">
        <f t="shared" si="5"/>
        <v>insert tariffs (origin_id,destin_id,provider_id,airline_id,comodity_id,min,n,comments,active,user_id,type_tariff,forty_five_more,hundred_more,three_hundred_more,five_hundred_more,thousand_more,f_end,created_at,updated_at,airchaft,cost, offer) values ('594','39771','8265','8299','4','100','4.5','&lt;p&gt;ITA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()&lt;/p&gt;',1,1,3,'3.8','1.55','1.45','1.35','1.25','2025-09-30',now(),now(),2,'0.1','1');</v>
      </c>
      <c r="P348" s="30">
        <v>0.1</v>
      </c>
    </row>
    <row r="349" spans="1:16" x14ac:dyDescent="0.2">
      <c r="A349" t="s">
        <v>65</v>
      </c>
      <c r="B349" t="s">
        <v>51</v>
      </c>
      <c r="C349" s="29">
        <f>VLOOKUP(B349,[1]!Consulta1[#All],2,FALSE)</f>
        <v>50830</v>
      </c>
      <c r="E349">
        <v>100</v>
      </c>
      <c r="F349">
        <v>4.5</v>
      </c>
      <c r="G349">
        <v>3.8</v>
      </c>
      <c r="H349">
        <v>1.6</v>
      </c>
      <c r="I349">
        <v>1.5</v>
      </c>
      <c r="J349" t="s">
        <v>80</v>
      </c>
      <c r="K349">
        <v>1.3</v>
      </c>
      <c r="M349" s="29">
        <f>VLOOKUP(A349,[1]!Consulta1[#All],2,FALSE)</f>
        <v>594</v>
      </c>
      <c r="O349" s="29" t="str">
        <f t="shared" si="5"/>
        <v>insert tariffs (origin_id,destin_id,provider_id,airline_id,comodity_id,min,n,comments,active,user_id,type_tariff,forty_five_more,hundred_more,three_hundred_more,five_hundred_more,thousand_more,f_end,created_at,updated_at,airchaft,cost, offer) values ('594','50830','8265','8299','4','100','4.5','&lt;p&gt;ITA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()&lt;/p&gt;',1,1,3,'3.8','1.6','1.5','1.4','1.3','2025-09-30',now(),now(),2,'0.1','1');</v>
      </c>
      <c r="P349" s="30">
        <v>0.1</v>
      </c>
    </row>
    <row r="350" spans="1:16" x14ac:dyDescent="0.2">
      <c r="A350" t="s">
        <v>65</v>
      </c>
      <c r="B350" t="s">
        <v>166</v>
      </c>
      <c r="C350" s="29">
        <f>VLOOKUP(B350,[1]!Consulta1[#All],2,FALSE)</f>
        <v>529</v>
      </c>
      <c r="E350">
        <v>100</v>
      </c>
      <c r="F350">
        <v>4.5</v>
      </c>
      <c r="G350">
        <v>3.8</v>
      </c>
      <c r="H350">
        <v>2.1</v>
      </c>
      <c r="I350">
        <v>2</v>
      </c>
      <c r="J350">
        <v>1.9</v>
      </c>
      <c r="K350">
        <v>1.7</v>
      </c>
      <c r="M350" s="29">
        <f>VLOOKUP(A350,[1]!Consulta1[#All],2,FALSE)</f>
        <v>594</v>
      </c>
      <c r="O350" s="29" t="str">
        <f t="shared" si="5"/>
        <v>insert tariffs (origin_id,destin_id,provider_id,airline_id,comodity_id,min,n,comments,active,user_id,type_tariff,forty_five_more,hundred_more,three_hundred_more,five_hundred_more,thousand_more,f_end,created_at,updated_at,airchaft,cost, offer) values ('594','529','8265','8299','4','100','4.5','&lt;p&gt;ITA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()&lt;/p&gt;',1,1,3,'3.8','2.1','2','1.9','1.7','2025-09-30',now(),now(),2,'0.1','1');</v>
      </c>
      <c r="P350" s="30">
        <v>0.1</v>
      </c>
    </row>
    <row r="351" spans="1:16" x14ac:dyDescent="0.2">
      <c r="A351" t="s">
        <v>65</v>
      </c>
      <c r="B351" t="s">
        <v>167</v>
      </c>
      <c r="C351" s="29">
        <f>VLOOKUP(B351,[1]!Consulta1[#All],2,FALSE)</f>
        <v>50954</v>
      </c>
      <c r="E351">
        <v>100</v>
      </c>
      <c r="F351">
        <v>4.5</v>
      </c>
      <c r="G351">
        <v>3.8</v>
      </c>
      <c r="H351">
        <v>2.1</v>
      </c>
      <c r="I351">
        <v>2</v>
      </c>
      <c r="J351">
        <v>1.9</v>
      </c>
      <c r="K351">
        <v>1.7</v>
      </c>
      <c r="M351" s="29">
        <f>VLOOKUP(A351,[1]!Consulta1[#All],2,FALSE)</f>
        <v>594</v>
      </c>
      <c r="O351" s="29" t="str">
        <f t="shared" si="5"/>
        <v>insert tariffs (origin_id,destin_id,provider_id,airline_id,comodity_id,min,n,comments,active,user_id,type_tariff,forty_five_more,hundred_more,three_hundred_more,five_hundred_more,thousand_more,f_end,created_at,updated_at,airchaft,cost, offer) values ('594','50954','8265','8299','4','100','4.5','&lt;p&gt;ITA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()&lt;/p&gt;',1,1,3,'3.8','2.1','2','1.9','1.7','2025-09-30',now(),now(),2,'0.1','1');</v>
      </c>
      <c r="P351" s="30">
        <v>0.1</v>
      </c>
    </row>
    <row r="352" spans="1:16" x14ac:dyDescent="0.2">
      <c r="A352" t="s">
        <v>65</v>
      </c>
      <c r="B352" t="s">
        <v>164</v>
      </c>
      <c r="C352" s="29">
        <f>VLOOKUP(B352,[1]!Consulta1[#All],2,FALSE)</f>
        <v>51096</v>
      </c>
      <c r="E352">
        <v>100</v>
      </c>
      <c r="F352">
        <v>4.5</v>
      </c>
      <c r="G352">
        <v>3.8</v>
      </c>
      <c r="H352">
        <v>2.2000000000000002</v>
      </c>
      <c r="I352">
        <v>2.1</v>
      </c>
      <c r="J352" t="s">
        <v>90</v>
      </c>
      <c r="K352">
        <v>1.9</v>
      </c>
      <c r="M352" s="29">
        <f>VLOOKUP(A352,[1]!Consulta1[#All],2,FALSE)</f>
        <v>594</v>
      </c>
      <c r="O352" s="29" t="str">
        <f t="shared" si="5"/>
        <v>insert tariffs (origin_id,destin_id,provider_id,airline_id,comodity_id,min,n,comments,active,user_id,type_tariff,forty_five_more,hundred_more,three_hundred_more,five_hundred_more,thousand_more,f_end,created_at,updated_at,airchaft,cost, offer) values ('594','51096','8265','8299','4','100','4.5','&lt;p&gt;ITA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()&lt;/p&gt;',1,1,3,'3.8','2.2','2.1','2','1.9','2025-09-30',now(),now(),2,'0.1','1');</v>
      </c>
      <c r="P352" s="30">
        <v>0.1</v>
      </c>
    </row>
    <row r="353" spans="1:16" x14ac:dyDescent="0.2">
      <c r="A353" t="s">
        <v>65</v>
      </c>
      <c r="B353" t="s">
        <v>165</v>
      </c>
      <c r="C353" s="29">
        <f>VLOOKUP(B353,[1]!Consulta1[#All],2,FALSE)</f>
        <v>50922</v>
      </c>
      <c r="E353">
        <v>100</v>
      </c>
      <c r="F353">
        <v>4.5</v>
      </c>
      <c r="G353">
        <v>3.8</v>
      </c>
      <c r="H353">
        <v>2.2000000000000002</v>
      </c>
      <c r="I353">
        <v>2.1</v>
      </c>
      <c r="J353" t="s">
        <v>90</v>
      </c>
      <c r="K353">
        <v>1.9</v>
      </c>
      <c r="M353" s="29">
        <f>VLOOKUP(A353,[1]!Consulta1[#All],2,FALSE)</f>
        <v>594</v>
      </c>
      <c r="O353" s="29" t="str">
        <f t="shared" si="5"/>
        <v>insert tariffs (origin_id,destin_id,provider_id,airline_id,comodity_id,min,n,comments,active,user_id,type_tariff,forty_five_more,hundred_more,three_hundred_more,five_hundred_more,thousand_more,f_end,created_at,updated_at,airchaft,cost, offer) values ('594','50922','8265','8299','4','100','4.5','&lt;p&gt;ITA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()&lt;/p&gt;',1,1,3,'3.8','2.2','2.1','2','1.9','2025-09-30',now(),now(),2,'0.1','1');</v>
      </c>
      <c r="P353" s="30">
        <v>0.1</v>
      </c>
    </row>
    <row r="354" spans="1:16" x14ac:dyDescent="0.2">
      <c r="A354" t="s">
        <v>65</v>
      </c>
      <c r="B354" t="s">
        <v>54</v>
      </c>
      <c r="C354" s="29">
        <f>VLOOKUP(B354,[1]!Consulta1[#All],2,FALSE)</f>
        <v>51004</v>
      </c>
      <c r="E354">
        <v>100</v>
      </c>
      <c r="F354">
        <v>4.5</v>
      </c>
      <c r="G354">
        <v>3.8</v>
      </c>
      <c r="H354">
        <v>2.2000000000000002</v>
      </c>
      <c r="I354">
        <v>2.1</v>
      </c>
      <c r="J354" t="s">
        <v>90</v>
      </c>
      <c r="K354">
        <v>1.9</v>
      </c>
      <c r="M354" s="29">
        <f>VLOOKUP(A354,[1]!Consulta1[#All],2,FALSE)</f>
        <v>594</v>
      </c>
      <c r="O354" s="29" t="str">
        <f t="shared" si="5"/>
        <v>insert tariffs (origin_id,destin_id,provider_id,airline_id,comodity_id,min,n,comments,active,user_id,type_tariff,forty_five_more,hundred_more,three_hundred_more,five_hundred_more,thousand_more,f_end,created_at,updated_at,airchaft,cost, offer) values ('594','51004','8265','8299','4','100','4.5','&lt;p&gt;ITA 1.1 Rates all in, valid for General Cargo, Known Shipper only, screening is additional $0.10 if tendered unscreened&lt;/p&gt;&lt;p&gt;SFO drop station: 632 West Field Rd&lt;br&gt;Narrowbody service: MAX DIMS (inches) 61”L X 59W X 42”H – max pc weight 900Kg ()&lt;/p&gt;',1,1,3,'3.8','2.2','2.1','2','1.9','2025-09-30',now(),now(),2,'0.1','1');</v>
      </c>
      <c r="P354" s="30">
        <v>0.1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B5EC3-237B-4231-9D98-7A709A5D16E7}">
  <dimension ref="A1:I116"/>
  <sheetViews>
    <sheetView topLeftCell="A100" workbookViewId="0">
      <selection sqref="A1:I116"/>
    </sheetView>
  </sheetViews>
  <sheetFormatPr baseColWidth="10" defaultRowHeight="12.75" x14ac:dyDescent="0.2"/>
  <cols>
    <col min="1" max="1" width="13" customWidth="1"/>
  </cols>
  <sheetData>
    <row r="1" spans="1:9" x14ac:dyDescent="0.2">
      <c r="A1" t="s">
        <v>134</v>
      </c>
      <c r="B1" t="s">
        <v>44</v>
      </c>
      <c r="C1" t="s">
        <v>45</v>
      </c>
      <c r="D1" t="s">
        <v>46</v>
      </c>
      <c r="E1" t="s">
        <v>135</v>
      </c>
      <c r="F1" t="s">
        <v>109</v>
      </c>
      <c r="G1" t="s">
        <v>136</v>
      </c>
      <c r="H1" t="s">
        <v>137</v>
      </c>
      <c r="I1" t="s">
        <v>138</v>
      </c>
    </row>
    <row r="2" spans="1:9" x14ac:dyDescent="0.2">
      <c r="A2" s="26" t="s">
        <v>55</v>
      </c>
      <c r="B2" t="s">
        <v>47</v>
      </c>
      <c r="C2" t="s">
        <v>66</v>
      </c>
      <c r="D2" t="s">
        <v>67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</row>
    <row r="3" spans="1:9" x14ac:dyDescent="0.2">
      <c r="A3" s="26" t="s">
        <v>55</v>
      </c>
      <c r="B3" t="s">
        <v>48</v>
      </c>
      <c r="C3" t="s">
        <v>66</v>
      </c>
      <c r="D3" t="s">
        <v>67</v>
      </c>
      <c r="E3" t="s">
        <v>67</v>
      </c>
      <c r="F3" t="s">
        <v>72</v>
      </c>
      <c r="G3" t="s">
        <v>73</v>
      </c>
      <c r="H3" t="s">
        <v>74</v>
      </c>
      <c r="I3" t="s">
        <v>75</v>
      </c>
    </row>
    <row r="4" spans="1:9" x14ac:dyDescent="0.2">
      <c r="A4" s="26" t="s">
        <v>55</v>
      </c>
      <c r="B4" t="s">
        <v>76</v>
      </c>
      <c r="C4" t="s">
        <v>66</v>
      </c>
      <c r="D4" t="s">
        <v>77</v>
      </c>
      <c r="E4" t="s">
        <v>78</v>
      </c>
      <c r="F4" t="s">
        <v>79</v>
      </c>
      <c r="G4" t="s">
        <v>80</v>
      </c>
      <c r="H4" t="s">
        <v>81</v>
      </c>
      <c r="I4" t="s">
        <v>82</v>
      </c>
    </row>
    <row r="5" spans="1:9" x14ac:dyDescent="0.2">
      <c r="A5" s="26" t="s">
        <v>55</v>
      </c>
      <c r="B5" t="s">
        <v>49</v>
      </c>
      <c r="C5" t="s">
        <v>66</v>
      </c>
      <c r="D5" t="s">
        <v>77</v>
      </c>
      <c r="E5" t="s">
        <v>78</v>
      </c>
      <c r="F5" t="s">
        <v>83</v>
      </c>
      <c r="G5" t="s">
        <v>84</v>
      </c>
      <c r="H5" t="s">
        <v>85</v>
      </c>
      <c r="I5" t="s">
        <v>86</v>
      </c>
    </row>
    <row r="6" spans="1:9" x14ac:dyDescent="0.2">
      <c r="A6" s="26" t="s">
        <v>55</v>
      </c>
      <c r="B6" t="s">
        <v>50</v>
      </c>
      <c r="C6" t="s">
        <v>66</v>
      </c>
      <c r="D6" t="s">
        <v>77</v>
      </c>
      <c r="E6" t="s">
        <v>78</v>
      </c>
      <c r="F6" t="s">
        <v>87</v>
      </c>
      <c r="G6" t="s">
        <v>88</v>
      </c>
      <c r="H6" t="s">
        <v>89</v>
      </c>
      <c r="I6" t="s">
        <v>90</v>
      </c>
    </row>
    <row r="7" spans="1:9" x14ac:dyDescent="0.2">
      <c r="A7" s="26" t="s">
        <v>55</v>
      </c>
      <c r="B7" t="s">
        <v>91</v>
      </c>
      <c r="C7" t="s">
        <v>66</v>
      </c>
      <c r="D7" t="s">
        <v>67</v>
      </c>
      <c r="E7" t="s">
        <v>67</v>
      </c>
      <c r="F7" t="s">
        <v>92</v>
      </c>
      <c r="G7" t="s">
        <v>72</v>
      </c>
      <c r="H7" t="s">
        <v>74</v>
      </c>
      <c r="I7" t="s">
        <v>68</v>
      </c>
    </row>
    <row r="8" spans="1:9" x14ac:dyDescent="0.2">
      <c r="A8" s="26" t="s">
        <v>55</v>
      </c>
      <c r="B8" t="s">
        <v>93</v>
      </c>
      <c r="C8" t="s">
        <v>66</v>
      </c>
      <c r="D8" t="s">
        <v>67</v>
      </c>
      <c r="E8" t="s">
        <v>67</v>
      </c>
      <c r="F8" t="s">
        <v>92</v>
      </c>
      <c r="G8" t="s">
        <v>72</v>
      </c>
      <c r="H8" t="s">
        <v>74</v>
      </c>
      <c r="I8" t="s">
        <v>68</v>
      </c>
    </row>
    <row r="9" spans="1:9" x14ac:dyDescent="0.2">
      <c r="A9" s="26" t="s">
        <v>55</v>
      </c>
      <c r="B9" t="s">
        <v>94</v>
      </c>
      <c r="C9" t="s">
        <v>66</v>
      </c>
      <c r="D9" t="s">
        <v>67</v>
      </c>
      <c r="E9" t="s">
        <v>67</v>
      </c>
      <c r="F9" t="s">
        <v>92</v>
      </c>
      <c r="G9" t="s">
        <v>72</v>
      </c>
      <c r="H9" t="s">
        <v>74</v>
      </c>
      <c r="I9" t="s">
        <v>68</v>
      </c>
    </row>
    <row r="10" spans="1:9" x14ac:dyDescent="0.2">
      <c r="A10" s="26" t="s">
        <v>55</v>
      </c>
      <c r="B10" t="s">
        <v>95</v>
      </c>
      <c r="C10" t="s">
        <v>66</v>
      </c>
      <c r="D10" t="s">
        <v>67</v>
      </c>
      <c r="E10" t="s">
        <v>67</v>
      </c>
      <c r="F10" t="s">
        <v>92</v>
      </c>
      <c r="G10" t="s">
        <v>72</v>
      </c>
      <c r="H10" t="s">
        <v>74</v>
      </c>
      <c r="I10" t="s">
        <v>68</v>
      </c>
    </row>
    <row r="11" spans="1:9" x14ac:dyDescent="0.2">
      <c r="A11" s="26" t="s">
        <v>55</v>
      </c>
      <c r="B11" t="s">
        <v>96</v>
      </c>
      <c r="C11" t="s">
        <v>66</v>
      </c>
      <c r="D11" t="s">
        <v>67</v>
      </c>
      <c r="E11" t="s">
        <v>67</v>
      </c>
      <c r="F11" t="s">
        <v>92</v>
      </c>
      <c r="G11" t="s">
        <v>72</v>
      </c>
      <c r="H11" t="s">
        <v>74</v>
      </c>
      <c r="I11" t="s">
        <v>68</v>
      </c>
    </row>
    <row r="12" spans="1:9" x14ac:dyDescent="0.2">
      <c r="A12" s="26" t="s">
        <v>55</v>
      </c>
      <c r="B12" t="s">
        <v>97</v>
      </c>
      <c r="C12" t="s">
        <v>66</v>
      </c>
      <c r="D12" t="s">
        <v>77</v>
      </c>
      <c r="E12" t="s">
        <v>78</v>
      </c>
      <c r="F12" t="s">
        <v>98</v>
      </c>
      <c r="G12" t="s">
        <v>99</v>
      </c>
      <c r="H12" t="s">
        <v>100</v>
      </c>
      <c r="I12" t="s">
        <v>101</v>
      </c>
    </row>
    <row r="13" spans="1:9" x14ac:dyDescent="0.2">
      <c r="A13" s="26" t="s">
        <v>55</v>
      </c>
      <c r="B13" t="s">
        <v>51</v>
      </c>
      <c r="C13" t="s">
        <v>66</v>
      </c>
      <c r="D13" t="s">
        <v>77</v>
      </c>
      <c r="E13" t="s">
        <v>78</v>
      </c>
      <c r="F13" t="s">
        <v>102</v>
      </c>
      <c r="G13" t="s">
        <v>103</v>
      </c>
      <c r="H13" t="s">
        <v>104</v>
      </c>
      <c r="I13" t="s">
        <v>105</v>
      </c>
    </row>
    <row r="14" spans="1:9" x14ac:dyDescent="0.2">
      <c r="A14" s="26" t="s">
        <v>55</v>
      </c>
      <c r="B14" t="s">
        <v>106</v>
      </c>
      <c r="C14" t="s">
        <v>66</v>
      </c>
      <c r="D14" t="s">
        <v>77</v>
      </c>
      <c r="E14" t="s">
        <v>78</v>
      </c>
      <c r="F14" t="s">
        <v>102</v>
      </c>
      <c r="G14" t="s">
        <v>103</v>
      </c>
      <c r="H14" t="s">
        <v>104</v>
      </c>
      <c r="I14" t="s">
        <v>107</v>
      </c>
    </row>
    <row r="15" spans="1:9" x14ac:dyDescent="0.2">
      <c r="A15" s="26" t="s">
        <v>55</v>
      </c>
      <c r="B15" t="s">
        <v>52</v>
      </c>
      <c r="C15" t="s">
        <v>66</v>
      </c>
      <c r="D15" t="s">
        <v>77</v>
      </c>
      <c r="E15" t="s">
        <v>78</v>
      </c>
      <c r="F15" t="s">
        <v>103</v>
      </c>
      <c r="G15" t="s">
        <v>104</v>
      </c>
      <c r="H15" t="s">
        <v>105</v>
      </c>
      <c r="I15" t="s">
        <v>107</v>
      </c>
    </row>
    <row r="16" spans="1:9" x14ac:dyDescent="0.2">
      <c r="A16" s="26" t="s">
        <v>55</v>
      </c>
      <c r="B16" t="s">
        <v>53</v>
      </c>
      <c r="C16" t="s">
        <v>66</v>
      </c>
      <c r="D16" t="s">
        <v>77</v>
      </c>
      <c r="E16" t="s">
        <v>78</v>
      </c>
      <c r="F16" t="s">
        <v>83</v>
      </c>
      <c r="G16" t="s">
        <v>84</v>
      </c>
      <c r="H16" t="s">
        <v>85</v>
      </c>
      <c r="I16" t="s">
        <v>108</v>
      </c>
    </row>
    <row r="17" spans="1:9" x14ac:dyDescent="0.2">
      <c r="A17" s="26" t="s">
        <v>55</v>
      </c>
      <c r="B17" t="s">
        <v>54</v>
      </c>
      <c r="C17" t="s">
        <v>66</v>
      </c>
      <c r="D17" t="s">
        <v>77</v>
      </c>
      <c r="E17" t="s">
        <v>78</v>
      </c>
      <c r="F17" t="s">
        <v>101</v>
      </c>
      <c r="G17" t="s">
        <v>102</v>
      </c>
      <c r="H17" t="s">
        <v>103</v>
      </c>
      <c r="I17" t="s">
        <v>104</v>
      </c>
    </row>
    <row r="18" spans="1:9" x14ac:dyDescent="0.2">
      <c r="A18" s="26" t="s">
        <v>56</v>
      </c>
      <c r="B18" t="s">
        <v>47</v>
      </c>
      <c r="C18" t="s">
        <v>109</v>
      </c>
      <c r="D18" t="s">
        <v>75</v>
      </c>
      <c r="E18" t="s">
        <v>75</v>
      </c>
      <c r="F18" t="s">
        <v>75</v>
      </c>
      <c r="G18" t="s">
        <v>68</v>
      </c>
      <c r="H18" t="s">
        <v>69</v>
      </c>
      <c r="I18" t="s">
        <v>71</v>
      </c>
    </row>
    <row r="19" spans="1:9" x14ac:dyDescent="0.2">
      <c r="A19" s="26" t="s">
        <v>56</v>
      </c>
      <c r="B19" t="s">
        <v>48</v>
      </c>
      <c r="C19" t="s">
        <v>109</v>
      </c>
      <c r="D19" t="s">
        <v>74</v>
      </c>
      <c r="E19" t="s">
        <v>74</v>
      </c>
      <c r="F19" t="s">
        <v>74</v>
      </c>
      <c r="G19" t="s">
        <v>75</v>
      </c>
      <c r="H19" t="s">
        <v>68</v>
      </c>
      <c r="I19" t="s">
        <v>70</v>
      </c>
    </row>
    <row r="20" spans="1:9" x14ac:dyDescent="0.2">
      <c r="A20" s="26" t="s">
        <v>56</v>
      </c>
      <c r="B20" t="s">
        <v>76</v>
      </c>
      <c r="C20" t="s">
        <v>109</v>
      </c>
      <c r="D20" t="s">
        <v>77</v>
      </c>
      <c r="E20" t="s">
        <v>78</v>
      </c>
      <c r="F20" t="s">
        <v>105</v>
      </c>
      <c r="G20" t="s">
        <v>107</v>
      </c>
      <c r="H20" t="s">
        <v>110</v>
      </c>
      <c r="I20" t="s">
        <v>92</v>
      </c>
    </row>
    <row r="21" spans="1:9" x14ac:dyDescent="0.2">
      <c r="A21" s="26" t="s">
        <v>56</v>
      </c>
      <c r="B21" t="s">
        <v>91</v>
      </c>
      <c r="C21" t="s">
        <v>109</v>
      </c>
      <c r="D21" t="s">
        <v>82</v>
      </c>
      <c r="E21" t="s">
        <v>82</v>
      </c>
      <c r="F21" t="s">
        <v>111</v>
      </c>
      <c r="G21" t="s">
        <v>72</v>
      </c>
      <c r="H21" t="s">
        <v>74</v>
      </c>
      <c r="I21" t="s">
        <v>68</v>
      </c>
    </row>
    <row r="22" spans="1:9" x14ac:dyDescent="0.2">
      <c r="A22" s="26" t="s">
        <v>56</v>
      </c>
      <c r="B22" t="s">
        <v>93</v>
      </c>
      <c r="C22" t="s">
        <v>109</v>
      </c>
      <c r="D22" t="s">
        <v>82</v>
      </c>
      <c r="E22" t="s">
        <v>82</v>
      </c>
      <c r="F22" t="s">
        <v>111</v>
      </c>
      <c r="G22" t="s">
        <v>72</v>
      </c>
      <c r="H22" t="s">
        <v>74</v>
      </c>
      <c r="I22" t="s">
        <v>68</v>
      </c>
    </row>
    <row r="23" spans="1:9" x14ac:dyDescent="0.2">
      <c r="A23" s="26" t="s">
        <v>56</v>
      </c>
      <c r="B23" t="s">
        <v>94</v>
      </c>
      <c r="C23" t="s">
        <v>109</v>
      </c>
      <c r="D23" t="s">
        <v>82</v>
      </c>
      <c r="E23" t="s">
        <v>82</v>
      </c>
      <c r="F23" t="s">
        <v>111</v>
      </c>
      <c r="G23" t="s">
        <v>72</v>
      </c>
      <c r="H23" t="s">
        <v>74</v>
      </c>
      <c r="I23" t="s">
        <v>68</v>
      </c>
    </row>
    <row r="24" spans="1:9" x14ac:dyDescent="0.2">
      <c r="A24" s="26" t="s">
        <v>56</v>
      </c>
      <c r="B24" t="s">
        <v>95</v>
      </c>
      <c r="C24" t="s">
        <v>109</v>
      </c>
      <c r="D24" t="s">
        <v>82</v>
      </c>
      <c r="E24" t="s">
        <v>82</v>
      </c>
      <c r="F24" t="s">
        <v>72</v>
      </c>
      <c r="G24" t="s">
        <v>74</v>
      </c>
      <c r="H24" t="s">
        <v>68</v>
      </c>
      <c r="I24" t="s">
        <v>71</v>
      </c>
    </row>
    <row r="25" spans="1:9" x14ac:dyDescent="0.2">
      <c r="A25" s="26" t="s">
        <v>56</v>
      </c>
      <c r="B25" t="s">
        <v>112</v>
      </c>
      <c r="C25" t="s">
        <v>109</v>
      </c>
      <c r="D25" t="s">
        <v>82</v>
      </c>
      <c r="E25" t="s">
        <v>82</v>
      </c>
      <c r="F25" t="s">
        <v>72</v>
      </c>
      <c r="G25" t="s">
        <v>74</v>
      </c>
      <c r="H25" t="s">
        <v>68</v>
      </c>
      <c r="I25" t="s">
        <v>71</v>
      </c>
    </row>
    <row r="26" spans="1:9" x14ac:dyDescent="0.2">
      <c r="A26" s="26" t="s">
        <v>56</v>
      </c>
      <c r="B26" t="s">
        <v>113</v>
      </c>
      <c r="C26" t="s">
        <v>109</v>
      </c>
      <c r="D26" t="s">
        <v>77</v>
      </c>
      <c r="E26" t="s">
        <v>78</v>
      </c>
      <c r="F26" t="s">
        <v>100</v>
      </c>
      <c r="G26" t="s">
        <v>101</v>
      </c>
      <c r="H26" t="s">
        <v>102</v>
      </c>
      <c r="I26" t="s">
        <v>103</v>
      </c>
    </row>
    <row r="27" spans="1:9" x14ac:dyDescent="0.2">
      <c r="A27" s="26" t="s">
        <v>56</v>
      </c>
      <c r="B27" t="s">
        <v>52</v>
      </c>
      <c r="C27" t="s">
        <v>109</v>
      </c>
      <c r="D27" t="s">
        <v>77</v>
      </c>
      <c r="E27" t="s">
        <v>78</v>
      </c>
      <c r="F27" t="s">
        <v>80</v>
      </c>
      <c r="G27" t="s">
        <v>81</v>
      </c>
      <c r="H27" t="s">
        <v>82</v>
      </c>
      <c r="I27" t="s">
        <v>111</v>
      </c>
    </row>
    <row r="28" spans="1:9" x14ac:dyDescent="0.2">
      <c r="A28" s="26" t="s">
        <v>56</v>
      </c>
      <c r="B28" t="s">
        <v>61</v>
      </c>
      <c r="C28" t="s">
        <v>109</v>
      </c>
      <c r="D28" t="s">
        <v>77</v>
      </c>
      <c r="E28" t="s">
        <v>78</v>
      </c>
      <c r="F28" t="s">
        <v>101</v>
      </c>
      <c r="G28" t="s">
        <v>102</v>
      </c>
      <c r="H28" t="s">
        <v>103</v>
      </c>
      <c r="I28" t="s">
        <v>104</v>
      </c>
    </row>
    <row r="29" spans="1:9" x14ac:dyDescent="0.2">
      <c r="A29" s="26" t="s">
        <v>56</v>
      </c>
      <c r="B29" t="s">
        <v>51</v>
      </c>
      <c r="C29" t="s">
        <v>109</v>
      </c>
      <c r="D29" t="s">
        <v>77</v>
      </c>
      <c r="E29" t="s">
        <v>78</v>
      </c>
      <c r="F29" t="s">
        <v>105</v>
      </c>
      <c r="G29" t="s">
        <v>107</v>
      </c>
      <c r="H29" t="s">
        <v>110</v>
      </c>
      <c r="I29" t="s">
        <v>92</v>
      </c>
    </row>
    <row r="30" spans="1:9" x14ac:dyDescent="0.2">
      <c r="A30" s="26" t="s">
        <v>57</v>
      </c>
      <c r="B30" t="s">
        <v>47</v>
      </c>
      <c r="C30" t="s">
        <v>109</v>
      </c>
      <c r="D30" t="s">
        <v>75</v>
      </c>
      <c r="E30" t="s">
        <v>75</v>
      </c>
      <c r="F30" t="s">
        <v>75</v>
      </c>
      <c r="G30" t="s">
        <v>68</v>
      </c>
      <c r="H30" t="s">
        <v>69</v>
      </c>
      <c r="I30" t="s">
        <v>71</v>
      </c>
    </row>
    <row r="31" spans="1:9" x14ac:dyDescent="0.2">
      <c r="A31" s="26" t="s">
        <v>57</v>
      </c>
      <c r="B31" t="s">
        <v>48</v>
      </c>
      <c r="C31" t="s">
        <v>109</v>
      </c>
      <c r="D31" t="s">
        <v>74</v>
      </c>
      <c r="E31" t="s">
        <v>74</v>
      </c>
      <c r="F31" t="s">
        <v>74</v>
      </c>
      <c r="G31" t="s">
        <v>75</v>
      </c>
      <c r="H31" t="s">
        <v>68</v>
      </c>
      <c r="I31" t="s">
        <v>70</v>
      </c>
    </row>
    <row r="32" spans="1:9" x14ac:dyDescent="0.2">
      <c r="A32" s="26" t="s">
        <v>57</v>
      </c>
      <c r="B32" t="s">
        <v>76</v>
      </c>
      <c r="C32" t="s">
        <v>109</v>
      </c>
      <c r="D32" t="s">
        <v>77</v>
      </c>
      <c r="E32" t="s">
        <v>78</v>
      </c>
      <c r="F32" t="s">
        <v>105</v>
      </c>
      <c r="G32" t="s">
        <v>107</v>
      </c>
      <c r="H32" t="s">
        <v>110</v>
      </c>
      <c r="I32" t="s">
        <v>92</v>
      </c>
    </row>
    <row r="33" spans="1:9" x14ac:dyDescent="0.2">
      <c r="A33" s="26" t="s">
        <v>57</v>
      </c>
      <c r="B33" t="s">
        <v>91</v>
      </c>
      <c r="C33" t="s">
        <v>109</v>
      </c>
      <c r="D33" t="s">
        <v>82</v>
      </c>
      <c r="E33" t="s">
        <v>82</v>
      </c>
      <c r="F33" t="s">
        <v>111</v>
      </c>
      <c r="G33" t="s">
        <v>72</v>
      </c>
      <c r="H33" t="s">
        <v>74</v>
      </c>
      <c r="I33" t="s">
        <v>68</v>
      </c>
    </row>
    <row r="34" spans="1:9" x14ac:dyDescent="0.2">
      <c r="A34" s="26" t="s">
        <v>57</v>
      </c>
      <c r="B34" t="s">
        <v>93</v>
      </c>
      <c r="C34" t="s">
        <v>109</v>
      </c>
      <c r="D34" t="s">
        <v>82</v>
      </c>
      <c r="E34" t="s">
        <v>82</v>
      </c>
      <c r="F34" t="s">
        <v>111</v>
      </c>
      <c r="G34" t="s">
        <v>72</v>
      </c>
      <c r="H34" t="s">
        <v>74</v>
      </c>
      <c r="I34" t="s">
        <v>68</v>
      </c>
    </row>
    <row r="35" spans="1:9" x14ac:dyDescent="0.2">
      <c r="A35" s="26" t="s">
        <v>57</v>
      </c>
      <c r="B35" t="s">
        <v>94</v>
      </c>
      <c r="C35" t="s">
        <v>109</v>
      </c>
      <c r="D35" t="s">
        <v>82</v>
      </c>
      <c r="E35" t="s">
        <v>82</v>
      </c>
      <c r="F35" t="s">
        <v>111</v>
      </c>
      <c r="G35" t="s">
        <v>72</v>
      </c>
      <c r="H35" t="s">
        <v>74</v>
      </c>
      <c r="I35" t="s">
        <v>68</v>
      </c>
    </row>
    <row r="36" spans="1:9" x14ac:dyDescent="0.2">
      <c r="A36" s="26" t="s">
        <v>57</v>
      </c>
      <c r="B36" t="s">
        <v>95</v>
      </c>
      <c r="C36" t="s">
        <v>109</v>
      </c>
      <c r="D36" t="s">
        <v>82</v>
      </c>
      <c r="E36" t="s">
        <v>82</v>
      </c>
      <c r="F36" t="s">
        <v>72</v>
      </c>
      <c r="G36" t="s">
        <v>74</v>
      </c>
      <c r="H36" t="s">
        <v>68</v>
      </c>
      <c r="I36" t="s">
        <v>71</v>
      </c>
    </row>
    <row r="37" spans="1:9" x14ac:dyDescent="0.2">
      <c r="A37" s="26" t="s">
        <v>57</v>
      </c>
      <c r="B37" t="s">
        <v>96</v>
      </c>
      <c r="C37" t="s">
        <v>109</v>
      </c>
      <c r="D37" t="s">
        <v>82</v>
      </c>
      <c r="E37" t="s">
        <v>82</v>
      </c>
      <c r="F37" t="s">
        <v>72</v>
      </c>
      <c r="G37" t="s">
        <v>74</v>
      </c>
      <c r="H37" t="s">
        <v>68</v>
      </c>
      <c r="I37" t="s">
        <v>71</v>
      </c>
    </row>
    <row r="38" spans="1:9" x14ac:dyDescent="0.2">
      <c r="A38" s="26" t="s">
        <v>57</v>
      </c>
      <c r="B38" t="s">
        <v>114</v>
      </c>
      <c r="C38" t="s">
        <v>109</v>
      </c>
      <c r="D38" t="s">
        <v>77</v>
      </c>
      <c r="E38" t="s">
        <v>78</v>
      </c>
      <c r="F38" t="s">
        <v>100</v>
      </c>
      <c r="G38" t="s">
        <v>101</v>
      </c>
      <c r="H38" t="s">
        <v>102</v>
      </c>
      <c r="I38" t="s">
        <v>103</v>
      </c>
    </row>
    <row r="39" spans="1:9" x14ac:dyDescent="0.2">
      <c r="A39" s="26" t="s">
        <v>57</v>
      </c>
      <c r="B39" t="s">
        <v>61</v>
      </c>
      <c r="C39" t="s">
        <v>109</v>
      </c>
      <c r="D39" t="s">
        <v>77</v>
      </c>
      <c r="E39" t="s">
        <v>78</v>
      </c>
      <c r="F39" t="s">
        <v>101</v>
      </c>
      <c r="G39" t="s">
        <v>103</v>
      </c>
      <c r="H39" t="s">
        <v>104</v>
      </c>
      <c r="I39" t="s">
        <v>105</v>
      </c>
    </row>
    <row r="40" spans="1:9" x14ac:dyDescent="0.2">
      <c r="A40" s="26" t="s">
        <v>57</v>
      </c>
      <c r="B40" t="s">
        <v>51</v>
      </c>
      <c r="C40" t="s">
        <v>109</v>
      </c>
      <c r="D40" t="s">
        <v>77</v>
      </c>
      <c r="E40" t="s">
        <v>78</v>
      </c>
      <c r="F40" t="s">
        <v>105</v>
      </c>
      <c r="G40" t="s">
        <v>107</v>
      </c>
      <c r="H40" t="s">
        <v>110</v>
      </c>
      <c r="I40" t="s">
        <v>92</v>
      </c>
    </row>
    <row r="41" spans="1:9" x14ac:dyDescent="0.2">
      <c r="A41" s="26" t="s">
        <v>57</v>
      </c>
      <c r="B41" t="s">
        <v>52</v>
      </c>
      <c r="C41" t="s">
        <v>109</v>
      </c>
      <c r="D41" t="s">
        <v>77</v>
      </c>
      <c r="E41" t="s">
        <v>78</v>
      </c>
      <c r="F41" t="s">
        <v>80</v>
      </c>
      <c r="G41" t="s">
        <v>81</v>
      </c>
      <c r="H41" t="s">
        <v>82</v>
      </c>
      <c r="I41" t="s">
        <v>111</v>
      </c>
    </row>
    <row r="42" spans="1:9" x14ac:dyDescent="0.2">
      <c r="A42" s="26" t="s">
        <v>58</v>
      </c>
      <c r="B42" t="s">
        <v>47</v>
      </c>
      <c r="C42" t="s">
        <v>109</v>
      </c>
      <c r="D42" t="s">
        <v>110</v>
      </c>
      <c r="E42" t="s">
        <v>110</v>
      </c>
      <c r="F42" t="s">
        <v>110</v>
      </c>
      <c r="G42" t="s">
        <v>92</v>
      </c>
      <c r="H42" t="s">
        <v>72</v>
      </c>
      <c r="I42" t="s">
        <v>74</v>
      </c>
    </row>
    <row r="43" spans="1:9" x14ac:dyDescent="0.2">
      <c r="A43" s="26" t="s">
        <v>58</v>
      </c>
      <c r="B43" t="s">
        <v>48</v>
      </c>
      <c r="C43" t="s">
        <v>109</v>
      </c>
      <c r="D43" t="s">
        <v>82</v>
      </c>
      <c r="E43" t="s">
        <v>82</v>
      </c>
      <c r="F43" t="s">
        <v>82</v>
      </c>
      <c r="G43" t="s">
        <v>111</v>
      </c>
      <c r="H43" t="s">
        <v>73</v>
      </c>
      <c r="I43" t="s">
        <v>75</v>
      </c>
    </row>
    <row r="44" spans="1:9" x14ac:dyDescent="0.2">
      <c r="A44" s="26" t="s">
        <v>58</v>
      </c>
      <c r="B44" t="s">
        <v>76</v>
      </c>
      <c r="C44" t="s">
        <v>109</v>
      </c>
      <c r="D44" t="s">
        <v>77</v>
      </c>
      <c r="E44" t="s">
        <v>78</v>
      </c>
      <c r="F44" t="s">
        <v>115</v>
      </c>
      <c r="G44" t="s">
        <v>79</v>
      </c>
      <c r="H44" t="s">
        <v>80</v>
      </c>
      <c r="I44" t="s">
        <v>81</v>
      </c>
    </row>
    <row r="45" spans="1:9" x14ac:dyDescent="0.2">
      <c r="A45" s="26" t="s">
        <v>58</v>
      </c>
      <c r="B45" t="s">
        <v>91</v>
      </c>
      <c r="C45" t="s">
        <v>109</v>
      </c>
      <c r="D45" t="s">
        <v>79</v>
      </c>
      <c r="E45" t="s">
        <v>79</v>
      </c>
      <c r="F45" t="s">
        <v>80</v>
      </c>
      <c r="G45" t="s">
        <v>81</v>
      </c>
      <c r="H45" t="s">
        <v>82</v>
      </c>
      <c r="I45" t="s">
        <v>111</v>
      </c>
    </row>
    <row r="46" spans="1:9" x14ac:dyDescent="0.2">
      <c r="A46" s="26" t="s">
        <v>58</v>
      </c>
      <c r="B46" t="s">
        <v>93</v>
      </c>
      <c r="C46" t="s">
        <v>109</v>
      </c>
      <c r="D46" t="s">
        <v>79</v>
      </c>
      <c r="E46" t="s">
        <v>79</v>
      </c>
      <c r="F46" t="s">
        <v>80</v>
      </c>
      <c r="G46" t="s">
        <v>81</v>
      </c>
      <c r="H46" t="s">
        <v>82</v>
      </c>
      <c r="I46" t="s">
        <v>111</v>
      </c>
    </row>
    <row r="47" spans="1:9" x14ac:dyDescent="0.2">
      <c r="A47" s="26" t="s">
        <v>58</v>
      </c>
      <c r="B47" t="s">
        <v>94</v>
      </c>
      <c r="C47" t="s">
        <v>109</v>
      </c>
      <c r="D47" t="s">
        <v>79</v>
      </c>
      <c r="E47" t="s">
        <v>79</v>
      </c>
      <c r="F47" t="s">
        <v>80</v>
      </c>
      <c r="G47" t="s">
        <v>81</v>
      </c>
      <c r="H47" t="s">
        <v>82</v>
      </c>
      <c r="I47" t="s">
        <v>111</v>
      </c>
    </row>
    <row r="48" spans="1:9" x14ac:dyDescent="0.2">
      <c r="A48" s="26" t="s">
        <v>58</v>
      </c>
      <c r="B48" t="s">
        <v>95</v>
      </c>
      <c r="C48" t="s">
        <v>109</v>
      </c>
      <c r="D48" t="s">
        <v>82</v>
      </c>
      <c r="E48" t="s">
        <v>82</v>
      </c>
      <c r="F48" t="s">
        <v>82</v>
      </c>
      <c r="G48" t="s">
        <v>111</v>
      </c>
      <c r="H48" t="s">
        <v>73</v>
      </c>
      <c r="I48" t="s">
        <v>75</v>
      </c>
    </row>
    <row r="49" spans="1:9" x14ac:dyDescent="0.2">
      <c r="A49" s="26" t="s">
        <v>58</v>
      </c>
      <c r="B49" t="s">
        <v>96</v>
      </c>
      <c r="C49" t="s">
        <v>109</v>
      </c>
      <c r="D49" t="s">
        <v>82</v>
      </c>
      <c r="E49" t="s">
        <v>82</v>
      </c>
      <c r="F49" t="s">
        <v>82</v>
      </c>
      <c r="G49" t="s">
        <v>111</v>
      </c>
      <c r="H49" t="s">
        <v>73</v>
      </c>
      <c r="I49" t="s">
        <v>75</v>
      </c>
    </row>
    <row r="50" spans="1:9" x14ac:dyDescent="0.2">
      <c r="A50" s="26" t="s">
        <v>58</v>
      </c>
      <c r="B50" t="s">
        <v>113</v>
      </c>
      <c r="C50" t="s">
        <v>109</v>
      </c>
      <c r="D50" t="s">
        <v>77</v>
      </c>
      <c r="E50" t="s">
        <v>78</v>
      </c>
      <c r="F50" t="s">
        <v>98</v>
      </c>
      <c r="G50" t="s">
        <v>99</v>
      </c>
      <c r="H50" t="s">
        <v>100</v>
      </c>
      <c r="I50" t="s">
        <v>101</v>
      </c>
    </row>
    <row r="51" spans="1:9" x14ac:dyDescent="0.2">
      <c r="A51" s="26" t="s">
        <v>58</v>
      </c>
      <c r="B51" t="s">
        <v>51</v>
      </c>
      <c r="C51" t="s">
        <v>109</v>
      </c>
      <c r="D51" t="s">
        <v>77</v>
      </c>
      <c r="E51" t="s">
        <v>78</v>
      </c>
      <c r="F51" t="s">
        <v>99</v>
      </c>
      <c r="G51" t="s">
        <v>100</v>
      </c>
      <c r="H51" t="s">
        <v>101</v>
      </c>
      <c r="I51" t="s">
        <v>102</v>
      </c>
    </row>
    <row r="52" spans="1:9" x14ac:dyDescent="0.2">
      <c r="A52" s="26" t="s">
        <v>58</v>
      </c>
      <c r="B52" t="s">
        <v>61</v>
      </c>
      <c r="C52" t="s">
        <v>109</v>
      </c>
      <c r="D52" t="s">
        <v>77</v>
      </c>
      <c r="E52" t="s">
        <v>78</v>
      </c>
      <c r="F52" t="s">
        <v>99</v>
      </c>
      <c r="G52" t="s">
        <v>100</v>
      </c>
      <c r="H52" t="s">
        <v>101</v>
      </c>
      <c r="I52" t="s">
        <v>103</v>
      </c>
    </row>
    <row r="53" spans="1:9" x14ac:dyDescent="0.2">
      <c r="A53" s="26" t="s">
        <v>58</v>
      </c>
      <c r="B53" t="s">
        <v>52</v>
      </c>
      <c r="C53" t="s">
        <v>109</v>
      </c>
      <c r="D53" t="s">
        <v>77</v>
      </c>
      <c r="E53" t="s">
        <v>78</v>
      </c>
      <c r="F53" t="s">
        <v>103</v>
      </c>
      <c r="G53" t="s">
        <v>104</v>
      </c>
      <c r="H53" t="s">
        <v>105</v>
      </c>
      <c r="I53" t="s">
        <v>107</v>
      </c>
    </row>
    <row r="54" spans="1:9" x14ac:dyDescent="0.2">
      <c r="A54" s="26" t="s">
        <v>59</v>
      </c>
      <c r="B54" t="s">
        <v>47</v>
      </c>
      <c r="C54" t="s">
        <v>109</v>
      </c>
      <c r="D54" t="s">
        <v>80</v>
      </c>
      <c r="E54" t="s">
        <v>80</v>
      </c>
      <c r="F54" t="s">
        <v>81</v>
      </c>
      <c r="G54" t="s">
        <v>82</v>
      </c>
      <c r="H54" t="s">
        <v>111</v>
      </c>
      <c r="I54" t="s">
        <v>73</v>
      </c>
    </row>
    <row r="55" spans="1:9" x14ac:dyDescent="0.2">
      <c r="A55" s="26" t="s">
        <v>59</v>
      </c>
      <c r="B55" t="s">
        <v>48</v>
      </c>
      <c r="C55" t="s">
        <v>109</v>
      </c>
      <c r="D55" t="s">
        <v>105</v>
      </c>
      <c r="E55" t="s">
        <v>105</v>
      </c>
      <c r="F55" t="s">
        <v>107</v>
      </c>
      <c r="G55" t="s">
        <v>110</v>
      </c>
      <c r="H55" t="s">
        <v>92</v>
      </c>
      <c r="I55" t="s">
        <v>72</v>
      </c>
    </row>
    <row r="56" spans="1:9" x14ac:dyDescent="0.2">
      <c r="A56" s="26" t="s">
        <v>59</v>
      </c>
      <c r="B56" t="s">
        <v>76</v>
      </c>
      <c r="C56" t="s">
        <v>109</v>
      </c>
      <c r="D56" t="s">
        <v>77</v>
      </c>
      <c r="E56" t="s">
        <v>78</v>
      </c>
      <c r="F56" t="s">
        <v>80</v>
      </c>
      <c r="G56" t="s">
        <v>81</v>
      </c>
      <c r="H56" t="s">
        <v>82</v>
      </c>
      <c r="I56" t="s">
        <v>111</v>
      </c>
    </row>
    <row r="57" spans="1:9" x14ac:dyDescent="0.2">
      <c r="A57" s="26" t="s">
        <v>59</v>
      </c>
      <c r="B57" t="s">
        <v>91</v>
      </c>
      <c r="C57" t="s">
        <v>109</v>
      </c>
      <c r="D57" t="s">
        <v>116</v>
      </c>
      <c r="E57" t="s">
        <v>116</v>
      </c>
      <c r="F57" t="s">
        <v>107</v>
      </c>
      <c r="G57" t="s">
        <v>110</v>
      </c>
      <c r="H57" t="s">
        <v>92</v>
      </c>
      <c r="I57" t="s">
        <v>72</v>
      </c>
    </row>
    <row r="58" spans="1:9" x14ac:dyDescent="0.2">
      <c r="A58" s="26" t="s">
        <v>59</v>
      </c>
      <c r="B58" t="s">
        <v>93</v>
      </c>
      <c r="C58" t="s">
        <v>109</v>
      </c>
      <c r="D58" t="s">
        <v>116</v>
      </c>
      <c r="E58" t="s">
        <v>116</v>
      </c>
      <c r="F58" t="s">
        <v>107</v>
      </c>
      <c r="G58" t="s">
        <v>110</v>
      </c>
      <c r="H58" t="s">
        <v>92</v>
      </c>
      <c r="I58" t="s">
        <v>72</v>
      </c>
    </row>
    <row r="59" spans="1:9" x14ac:dyDescent="0.2">
      <c r="A59" s="26" t="s">
        <v>59</v>
      </c>
      <c r="B59" t="s">
        <v>94</v>
      </c>
      <c r="C59" t="s">
        <v>109</v>
      </c>
      <c r="D59" t="s">
        <v>116</v>
      </c>
      <c r="E59" t="s">
        <v>116</v>
      </c>
      <c r="F59" t="s">
        <v>107</v>
      </c>
      <c r="G59" t="s">
        <v>110</v>
      </c>
      <c r="H59" t="s">
        <v>92</v>
      </c>
      <c r="I59" t="s">
        <v>72</v>
      </c>
    </row>
    <row r="60" spans="1:9" x14ac:dyDescent="0.2">
      <c r="A60" s="26" t="s">
        <v>59</v>
      </c>
      <c r="B60" t="s">
        <v>117</v>
      </c>
      <c r="C60" t="s">
        <v>109</v>
      </c>
      <c r="D60" t="s">
        <v>92</v>
      </c>
      <c r="E60" t="s">
        <v>92</v>
      </c>
      <c r="F60" t="s">
        <v>92</v>
      </c>
      <c r="G60" t="s">
        <v>72</v>
      </c>
      <c r="H60" t="s">
        <v>74</v>
      </c>
      <c r="I60" t="s">
        <v>68</v>
      </c>
    </row>
    <row r="61" spans="1:9" x14ac:dyDescent="0.2">
      <c r="A61" s="26" t="s">
        <v>59</v>
      </c>
      <c r="B61" t="s">
        <v>118</v>
      </c>
      <c r="C61" t="s">
        <v>109</v>
      </c>
      <c r="D61" t="s">
        <v>92</v>
      </c>
      <c r="E61" t="s">
        <v>92</v>
      </c>
      <c r="F61" t="s">
        <v>92</v>
      </c>
      <c r="G61" t="s">
        <v>72</v>
      </c>
      <c r="H61" t="s">
        <v>74</v>
      </c>
      <c r="I61" t="s">
        <v>68</v>
      </c>
    </row>
    <row r="62" spans="1:9" x14ac:dyDescent="0.2">
      <c r="A62" s="26" t="s">
        <v>59</v>
      </c>
      <c r="B62" t="s">
        <v>113</v>
      </c>
      <c r="C62" t="s">
        <v>109</v>
      </c>
      <c r="D62" t="s">
        <v>77</v>
      </c>
      <c r="E62" t="s">
        <v>78</v>
      </c>
      <c r="F62" t="s">
        <v>119</v>
      </c>
      <c r="G62" t="s">
        <v>120</v>
      </c>
      <c r="H62" t="s">
        <v>98</v>
      </c>
      <c r="I62" t="s">
        <v>99</v>
      </c>
    </row>
    <row r="63" spans="1:9" x14ac:dyDescent="0.2">
      <c r="A63" s="26" t="s">
        <v>59</v>
      </c>
      <c r="B63" t="s">
        <v>61</v>
      </c>
      <c r="C63" t="s">
        <v>109</v>
      </c>
      <c r="D63" t="s">
        <v>77</v>
      </c>
      <c r="E63" t="s">
        <v>78</v>
      </c>
      <c r="F63" t="s">
        <v>120</v>
      </c>
      <c r="G63" t="s">
        <v>98</v>
      </c>
      <c r="H63" t="s">
        <v>99</v>
      </c>
      <c r="I63" t="s">
        <v>101</v>
      </c>
    </row>
    <row r="64" spans="1:9" x14ac:dyDescent="0.2">
      <c r="A64" s="26" t="s">
        <v>59</v>
      </c>
      <c r="B64" t="s">
        <v>52</v>
      </c>
      <c r="C64" t="s">
        <v>109</v>
      </c>
      <c r="D64" t="s">
        <v>77</v>
      </c>
      <c r="E64" t="s">
        <v>78</v>
      </c>
      <c r="F64" t="s">
        <v>104</v>
      </c>
      <c r="G64" t="s">
        <v>105</v>
      </c>
      <c r="H64" t="s">
        <v>107</v>
      </c>
      <c r="I64" t="s">
        <v>110</v>
      </c>
    </row>
    <row r="65" spans="1:9" x14ac:dyDescent="0.2">
      <c r="A65" s="26" t="s">
        <v>59</v>
      </c>
      <c r="B65" t="s">
        <v>51</v>
      </c>
      <c r="C65" t="s">
        <v>109</v>
      </c>
      <c r="D65" t="s">
        <v>77</v>
      </c>
      <c r="E65" t="s">
        <v>78</v>
      </c>
      <c r="F65" t="s">
        <v>115</v>
      </c>
      <c r="G65" t="s">
        <v>79</v>
      </c>
      <c r="H65" t="s">
        <v>80</v>
      </c>
      <c r="I65" t="s">
        <v>81</v>
      </c>
    </row>
    <row r="66" spans="1:9" x14ac:dyDescent="0.2">
      <c r="A66" s="26" t="s">
        <v>60</v>
      </c>
      <c r="B66" t="s">
        <v>47</v>
      </c>
      <c r="C66" t="s">
        <v>109</v>
      </c>
      <c r="D66" t="s">
        <v>75</v>
      </c>
      <c r="E66" t="s">
        <v>75</v>
      </c>
      <c r="F66" t="s">
        <v>75</v>
      </c>
      <c r="G66" t="s">
        <v>68</v>
      </c>
      <c r="H66" t="s">
        <v>69</v>
      </c>
      <c r="I66" t="s">
        <v>71</v>
      </c>
    </row>
    <row r="67" spans="1:9" x14ac:dyDescent="0.2">
      <c r="A67" s="26" t="s">
        <v>60</v>
      </c>
      <c r="B67" t="s">
        <v>121</v>
      </c>
      <c r="C67" t="s">
        <v>109</v>
      </c>
      <c r="D67" t="s">
        <v>74</v>
      </c>
      <c r="E67" t="s">
        <v>74</v>
      </c>
      <c r="F67" t="s">
        <v>74</v>
      </c>
      <c r="G67" t="s">
        <v>75</v>
      </c>
      <c r="H67" t="s">
        <v>68</v>
      </c>
      <c r="I67" t="s">
        <v>70</v>
      </c>
    </row>
    <row r="68" spans="1:9" x14ac:dyDescent="0.2">
      <c r="A68" s="26" t="s">
        <v>60</v>
      </c>
      <c r="B68" t="s">
        <v>76</v>
      </c>
      <c r="C68" t="s">
        <v>109</v>
      </c>
      <c r="D68" t="s">
        <v>77</v>
      </c>
      <c r="E68" t="s">
        <v>78</v>
      </c>
      <c r="F68" t="s">
        <v>105</v>
      </c>
      <c r="G68" t="s">
        <v>107</v>
      </c>
      <c r="H68" t="s">
        <v>110</v>
      </c>
      <c r="I68" t="s">
        <v>92</v>
      </c>
    </row>
    <row r="69" spans="1:9" x14ac:dyDescent="0.2">
      <c r="A69" s="26" t="s">
        <v>60</v>
      </c>
      <c r="B69" t="s">
        <v>91</v>
      </c>
      <c r="C69" t="s">
        <v>109</v>
      </c>
      <c r="D69" t="s">
        <v>82</v>
      </c>
      <c r="E69" t="s">
        <v>82</v>
      </c>
      <c r="F69" t="s">
        <v>111</v>
      </c>
      <c r="G69" t="s">
        <v>72</v>
      </c>
      <c r="H69" t="s">
        <v>74</v>
      </c>
      <c r="I69" t="s">
        <v>68</v>
      </c>
    </row>
    <row r="70" spans="1:9" x14ac:dyDescent="0.2">
      <c r="A70" s="26" t="s">
        <v>60</v>
      </c>
      <c r="B70" t="s">
        <v>93</v>
      </c>
      <c r="C70" t="s">
        <v>109</v>
      </c>
      <c r="D70" t="s">
        <v>82</v>
      </c>
      <c r="E70" t="s">
        <v>82</v>
      </c>
      <c r="F70" t="s">
        <v>111</v>
      </c>
      <c r="G70" t="s">
        <v>72</v>
      </c>
      <c r="H70" t="s">
        <v>74</v>
      </c>
      <c r="I70" t="s">
        <v>68</v>
      </c>
    </row>
    <row r="71" spans="1:9" x14ac:dyDescent="0.2">
      <c r="A71" s="26" t="s">
        <v>60</v>
      </c>
      <c r="B71" t="s">
        <v>94</v>
      </c>
      <c r="C71" t="s">
        <v>109</v>
      </c>
      <c r="D71" t="s">
        <v>82</v>
      </c>
      <c r="E71" t="s">
        <v>82</v>
      </c>
      <c r="F71" t="s">
        <v>111</v>
      </c>
      <c r="G71" t="s">
        <v>72</v>
      </c>
      <c r="H71" t="s">
        <v>74</v>
      </c>
      <c r="I71" t="s">
        <v>68</v>
      </c>
    </row>
    <row r="72" spans="1:9" x14ac:dyDescent="0.2">
      <c r="A72" s="26" t="s">
        <v>60</v>
      </c>
      <c r="B72" t="s">
        <v>117</v>
      </c>
      <c r="C72" t="s">
        <v>109</v>
      </c>
      <c r="D72" t="s">
        <v>82</v>
      </c>
      <c r="E72" t="s">
        <v>82</v>
      </c>
      <c r="F72" t="s">
        <v>72</v>
      </c>
      <c r="G72" t="s">
        <v>74</v>
      </c>
      <c r="H72" t="s">
        <v>68</v>
      </c>
      <c r="I72" t="s">
        <v>71</v>
      </c>
    </row>
    <row r="73" spans="1:9" x14ac:dyDescent="0.2">
      <c r="A73" s="26" t="s">
        <v>60</v>
      </c>
      <c r="B73" t="s">
        <v>122</v>
      </c>
      <c r="C73" t="s">
        <v>109</v>
      </c>
      <c r="D73" t="s">
        <v>82</v>
      </c>
      <c r="E73" t="s">
        <v>82</v>
      </c>
      <c r="F73" t="s">
        <v>72</v>
      </c>
      <c r="G73" t="s">
        <v>74</v>
      </c>
      <c r="H73" t="s">
        <v>68</v>
      </c>
      <c r="I73" t="s">
        <v>71</v>
      </c>
    </row>
    <row r="74" spans="1:9" x14ac:dyDescent="0.2">
      <c r="A74" s="26" t="s">
        <v>60</v>
      </c>
      <c r="B74" t="s">
        <v>113</v>
      </c>
      <c r="C74" t="s">
        <v>109</v>
      </c>
      <c r="D74" t="s">
        <v>77</v>
      </c>
      <c r="E74" t="s">
        <v>78</v>
      </c>
      <c r="F74" t="s">
        <v>100</v>
      </c>
      <c r="G74" t="s">
        <v>101</v>
      </c>
      <c r="H74" t="s">
        <v>102</v>
      </c>
      <c r="I74" t="s">
        <v>103</v>
      </c>
    </row>
    <row r="75" spans="1:9" x14ac:dyDescent="0.2">
      <c r="A75" s="26" t="s">
        <v>60</v>
      </c>
      <c r="B75" t="s">
        <v>52</v>
      </c>
      <c r="C75" t="s">
        <v>109</v>
      </c>
      <c r="D75" t="s">
        <v>77</v>
      </c>
      <c r="E75" t="s">
        <v>78</v>
      </c>
      <c r="F75" t="s">
        <v>80</v>
      </c>
      <c r="G75" t="s">
        <v>81</v>
      </c>
      <c r="H75" t="s">
        <v>82</v>
      </c>
      <c r="I75" t="s">
        <v>111</v>
      </c>
    </row>
    <row r="76" spans="1:9" x14ac:dyDescent="0.2">
      <c r="A76" s="26" t="s">
        <v>60</v>
      </c>
      <c r="B76" t="s">
        <v>51</v>
      </c>
      <c r="C76" t="s">
        <v>109</v>
      </c>
      <c r="D76" t="s">
        <v>77</v>
      </c>
      <c r="E76" t="s">
        <v>78</v>
      </c>
      <c r="F76" t="s">
        <v>105</v>
      </c>
      <c r="G76" t="s">
        <v>107</v>
      </c>
      <c r="H76" t="s">
        <v>110</v>
      </c>
      <c r="I76" t="s">
        <v>92</v>
      </c>
    </row>
    <row r="77" spans="1:9" x14ac:dyDescent="0.2">
      <c r="A77" s="26" t="s">
        <v>60</v>
      </c>
      <c r="B77" t="s">
        <v>61</v>
      </c>
      <c r="C77" t="s">
        <v>109</v>
      </c>
      <c r="D77" t="s">
        <v>77</v>
      </c>
      <c r="E77" t="s">
        <v>78</v>
      </c>
      <c r="F77" t="s">
        <v>101</v>
      </c>
      <c r="G77" t="s">
        <v>102</v>
      </c>
      <c r="H77" t="s">
        <v>103</v>
      </c>
      <c r="I77" t="s">
        <v>105</v>
      </c>
    </row>
    <row r="78" spans="1:9" x14ac:dyDescent="0.2">
      <c r="A78" s="26" t="s">
        <v>62</v>
      </c>
      <c r="B78" t="s">
        <v>47</v>
      </c>
      <c r="C78" t="s">
        <v>109</v>
      </c>
      <c r="D78" t="s">
        <v>74</v>
      </c>
      <c r="E78" t="s">
        <v>74</v>
      </c>
      <c r="F78" t="s">
        <v>74</v>
      </c>
      <c r="G78" t="s">
        <v>68</v>
      </c>
      <c r="H78" t="s">
        <v>70</v>
      </c>
      <c r="I78" t="s">
        <v>123</v>
      </c>
    </row>
    <row r="79" spans="1:9" x14ac:dyDescent="0.2">
      <c r="A79" s="26" t="s">
        <v>62</v>
      </c>
      <c r="B79" t="s">
        <v>48</v>
      </c>
      <c r="C79" t="s">
        <v>109</v>
      </c>
      <c r="D79" t="s">
        <v>68</v>
      </c>
      <c r="E79" t="s">
        <v>68</v>
      </c>
      <c r="F79" t="s">
        <v>68</v>
      </c>
      <c r="G79" t="s">
        <v>69</v>
      </c>
      <c r="H79" t="s">
        <v>70</v>
      </c>
      <c r="I79" t="s">
        <v>71</v>
      </c>
    </row>
    <row r="80" spans="1:9" x14ac:dyDescent="0.2">
      <c r="A80" s="26" t="s">
        <v>62</v>
      </c>
      <c r="B80" t="s">
        <v>76</v>
      </c>
      <c r="C80" t="s">
        <v>109</v>
      </c>
      <c r="D80" t="s">
        <v>77</v>
      </c>
      <c r="E80" t="s">
        <v>78</v>
      </c>
      <c r="F80" t="s">
        <v>79</v>
      </c>
      <c r="G80" t="s">
        <v>80</v>
      </c>
      <c r="H80" t="s">
        <v>81</v>
      </c>
      <c r="I80" t="s">
        <v>82</v>
      </c>
    </row>
    <row r="81" spans="1:9" x14ac:dyDescent="0.2">
      <c r="A81" s="26" t="s">
        <v>62</v>
      </c>
      <c r="B81" t="s">
        <v>91</v>
      </c>
      <c r="C81" t="s">
        <v>109</v>
      </c>
      <c r="D81" t="s">
        <v>72</v>
      </c>
      <c r="E81" t="s">
        <v>72</v>
      </c>
      <c r="F81" t="s">
        <v>72</v>
      </c>
      <c r="G81" t="s">
        <v>74</v>
      </c>
      <c r="H81" t="s">
        <v>68</v>
      </c>
      <c r="I81" t="s">
        <v>69</v>
      </c>
    </row>
    <row r="82" spans="1:9" x14ac:dyDescent="0.2">
      <c r="A82" s="26" t="s">
        <v>62</v>
      </c>
      <c r="B82" t="s">
        <v>93</v>
      </c>
      <c r="C82" t="s">
        <v>109</v>
      </c>
      <c r="D82" t="s">
        <v>72</v>
      </c>
      <c r="E82" t="s">
        <v>72</v>
      </c>
      <c r="F82" t="s">
        <v>72</v>
      </c>
      <c r="G82" t="s">
        <v>74</v>
      </c>
      <c r="H82" t="s">
        <v>68</v>
      </c>
      <c r="I82" t="s">
        <v>69</v>
      </c>
    </row>
    <row r="83" spans="1:9" x14ac:dyDescent="0.2">
      <c r="A83" s="26" t="s">
        <v>62</v>
      </c>
      <c r="B83" t="s">
        <v>94</v>
      </c>
      <c r="C83" t="s">
        <v>109</v>
      </c>
      <c r="D83" t="s">
        <v>72</v>
      </c>
      <c r="E83" t="s">
        <v>72</v>
      </c>
      <c r="F83" t="s">
        <v>72</v>
      </c>
      <c r="G83" t="s">
        <v>74</v>
      </c>
      <c r="H83" t="s">
        <v>68</v>
      </c>
      <c r="I83" t="s">
        <v>69</v>
      </c>
    </row>
    <row r="84" spans="1:9" x14ac:dyDescent="0.2">
      <c r="A84" s="26" t="s">
        <v>62</v>
      </c>
      <c r="B84" t="s">
        <v>124</v>
      </c>
      <c r="C84" t="s">
        <v>109</v>
      </c>
      <c r="D84" t="s">
        <v>72</v>
      </c>
      <c r="E84" t="s">
        <v>72</v>
      </c>
      <c r="F84" t="s">
        <v>72</v>
      </c>
      <c r="G84" t="s">
        <v>74</v>
      </c>
      <c r="H84" t="s">
        <v>68</v>
      </c>
      <c r="I84" t="s">
        <v>70</v>
      </c>
    </row>
    <row r="85" spans="1:9" x14ac:dyDescent="0.2">
      <c r="A85" s="26" t="s">
        <v>62</v>
      </c>
      <c r="B85" t="s">
        <v>96</v>
      </c>
      <c r="C85" t="s">
        <v>109</v>
      </c>
      <c r="D85" t="s">
        <v>72</v>
      </c>
      <c r="E85" t="s">
        <v>72</v>
      </c>
      <c r="F85" t="s">
        <v>72</v>
      </c>
      <c r="G85" t="s">
        <v>74</v>
      </c>
      <c r="H85" t="s">
        <v>68</v>
      </c>
      <c r="I85" t="s">
        <v>70</v>
      </c>
    </row>
    <row r="86" spans="1:9" x14ac:dyDescent="0.2">
      <c r="A86" s="26" t="s">
        <v>62</v>
      </c>
      <c r="B86" t="s">
        <v>113</v>
      </c>
      <c r="C86" t="s">
        <v>109</v>
      </c>
      <c r="D86" t="s">
        <v>77</v>
      </c>
      <c r="E86" t="s">
        <v>78</v>
      </c>
      <c r="F86" t="s">
        <v>116</v>
      </c>
      <c r="G86" t="s">
        <v>116</v>
      </c>
      <c r="H86" t="s">
        <v>115</v>
      </c>
      <c r="I86" t="s">
        <v>79</v>
      </c>
    </row>
    <row r="87" spans="1:9" x14ac:dyDescent="0.2">
      <c r="A87" s="26" t="s">
        <v>62</v>
      </c>
      <c r="B87" t="s">
        <v>61</v>
      </c>
      <c r="C87" t="s">
        <v>109</v>
      </c>
      <c r="D87" t="s">
        <v>77</v>
      </c>
      <c r="E87" t="s">
        <v>78</v>
      </c>
      <c r="F87" t="s">
        <v>101</v>
      </c>
      <c r="G87" t="s">
        <v>102</v>
      </c>
      <c r="H87" t="s">
        <v>103</v>
      </c>
      <c r="I87" t="s">
        <v>105</v>
      </c>
    </row>
    <row r="88" spans="1:9" x14ac:dyDescent="0.2">
      <c r="A88" s="26" t="s">
        <v>62</v>
      </c>
      <c r="B88" t="s">
        <v>51</v>
      </c>
      <c r="C88" t="s">
        <v>109</v>
      </c>
      <c r="D88" t="s">
        <v>77</v>
      </c>
      <c r="E88" t="s">
        <v>78</v>
      </c>
      <c r="F88" t="s">
        <v>116</v>
      </c>
      <c r="G88" t="s">
        <v>115</v>
      </c>
      <c r="H88" t="s">
        <v>79</v>
      </c>
      <c r="I88" t="s">
        <v>80</v>
      </c>
    </row>
    <row r="89" spans="1:9" x14ac:dyDescent="0.2">
      <c r="A89" s="26" t="s">
        <v>62</v>
      </c>
      <c r="B89" t="s">
        <v>52</v>
      </c>
      <c r="C89" t="s">
        <v>109</v>
      </c>
      <c r="D89" t="s">
        <v>77</v>
      </c>
      <c r="E89" t="s">
        <v>78</v>
      </c>
      <c r="F89" t="s">
        <v>103</v>
      </c>
      <c r="G89" t="s">
        <v>104</v>
      </c>
      <c r="H89" t="s">
        <v>105</v>
      </c>
      <c r="I89" t="s">
        <v>107</v>
      </c>
    </row>
    <row r="90" spans="1:9" x14ac:dyDescent="0.2">
      <c r="A90" s="26" t="s">
        <v>63</v>
      </c>
      <c r="B90" t="s">
        <v>47</v>
      </c>
      <c r="C90" t="s">
        <v>66</v>
      </c>
      <c r="D90" t="s">
        <v>67</v>
      </c>
      <c r="E90" t="s">
        <v>67</v>
      </c>
      <c r="F90" t="s">
        <v>125</v>
      </c>
      <c r="G90" t="s">
        <v>125</v>
      </c>
      <c r="H90" t="s">
        <v>125</v>
      </c>
      <c r="I90" t="s">
        <v>125</v>
      </c>
    </row>
    <row r="91" spans="1:9" x14ac:dyDescent="0.2">
      <c r="A91" s="26" t="s">
        <v>63</v>
      </c>
      <c r="B91" t="s">
        <v>48</v>
      </c>
      <c r="C91" t="s">
        <v>66</v>
      </c>
      <c r="D91" t="s">
        <v>67</v>
      </c>
      <c r="E91" t="s">
        <v>67</v>
      </c>
      <c r="F91" t="s">
        <v>72</v>
      </c>
      <c r="G91" t="s">
        <v>72</v>
      </c>
      <c r="H91" t="s">
        <v>72</v>
      </c>
      <c r="I91" t="s">
        <v>72</v>
      </c>
    </row>
    <row r="92" spans="1:9" x14ac:dyDescent="0.2">
      <c r="A92" s="26" t="s">
        <v>63</v>
      </c>
      <c r="B92" t="s">
        <v>76</v>
      </c>
      <c r="C92" t="s">
        <v>66</v>
      </c>
      <c r="D92" t="s">
        <v>77</v>
      </c>
      <c r="E92" t="s">
        <v>78</v>
      </c>
      <c r="F92" t="s">
        <v>126</v>
      </c>
      <c r="G92" t="s">
        <v>116</v>
      </c>
      <c r="H92" t="s">
        <v>115</v>
      </c>
      <c r="I92" t="s">
        <v>79</v>
      </c>
    </row>
    <row r="93" spans="1:9" x14ac:dyDescent="0.2">
      <c r="A93" s="26" t="s">
        <v>63</v>
      </c>
      <c r="B93" t="s">
        <v>49</v>
      </c>
      <c r="C93" t="s">
        <v>66</v>
      </c>
      <c r="D93" t="s">
        <v>77</v>
      </c>
      <c r="E93" t="s">
        <v>78</v>
      </c>
      <c r="F93" t="s">
        <v>83</v>
      </c>
      <c r="G93" t="s">
        <v>84</v>
      </c>
      <c r="H93" t="s">
        <v>85</v>
      </c>
      <c r="I93" t="s">
        <v>86</v>
      </c>
    </row>
    <row r="94" spans="1:9" x14ac:dyDescent="0.2">
      <c r="A94" s="26" t="s">
        <v>63</v>
      </c>
      <c r="B94" t="s">
        <v>50</v>
      </c>
      <c r="C94" t="s">
        <v>66</v>
      </c>
      <c r="D94" t="s">
        <v>77</v>
      </c>
      <c r="E94" t="s">
        <v>78</v>
      </c>
      <c r="F94" t="s">
        <v>87</v>
      </c>
      <c r="G94" t="s">
        <v>88</v>
      </c>
      <c r="H94" t="s">
        <v>89</v>
      </c>
      <c r="I94" t="s">
        <v>90</v>
      </c>
    </row>
    <row r="95" spans="1:9" x14ac:dyDescent="0.2">
      <c r="A95" s="26" t="s">
        <v>63</v>
      </c>
      <c r="B95" t="s">
        <v>91</v>
      </c>
      <c r="C95" t="s">
        <v>66</v>
      </c>
      <c r="D95" t="s">
        <v>67</v>
      </c>
      <c r="E95" t="s">
        <v>67</v>
      </c>
      <c r="F95" t="s">
        <v>80</v>
      </c>
      <c r="G95" t="s">
        <v>81</v>
      </c>
      <c r="H95" t="s">
        <v>82</v>
      </c>
      <c r="I95" t="s">
        <v>111</v>
      </c>
    </row>
    <row r="96" spans="1:9" x14ac:dyDescent="0.2">
      <c r="A96" s="26" t="s">
        <v>63</v>
      </c>
      <c r="B96" t="s">
        <v>127</v>
      </c>
      <c r="C96" t="s">
        <v>66</v>
      </c>
      <c r="D96" t="s">
        <v>67</v>
      </c>
      <c r="E96" t="s">
        <v>67</v>
      </c>
      <c r="F96" t="s">
        <v>80</v>
      </c>
      <c r="G96" t="s">
        <v>81</v>
      </c>
      <c r="H96" t="s">
        <v>82</v>
      </c>
      <c r="I96" t="s">
        <v>111</v>
      </c>
    </row>
    <row r="97" spans="1:9" x14ac:dyDescent="0.2">
      <c r="A97" s="26" t="s">
        <v>63</v>
      </c>
      <c r="B97" t="s">
        <v>95</v>
      </c>
      <c r="C97" t="s">
        <v>66</v>
      </c>
      <c r="D97" t="s">
        <v>67</v>
      </c>
      <c r="E97" t="s">
        <v>67</v>
      </c>
      <c r="F97" t="s">
        <v>111</v>
      </c>
      <c r="G97" t="s">
        <v>111</v>
      </c>
      <c r="H97" t="s">
        <v>111</v>
      </c>
      <c r="I97" t="s">
        <v>111</v>
      </c>
    </row>
    <row r="98" spans="1:9" x14ac:dyDescent="0.2">
      <c r="A98" s="26" t="s">
        <v>63</v>
      </c>
      <c r="B98" t="s">
        <v>112</v>
      </c>
      <c r="C98" t="s">
        <v>66</v>
      </c>
      <c r="D98" t="s">
        <v>67</v>
      </c>
      <c r="E98" t="s">
        <v>67</v>
      </c>
      <c r="F98" t="s">
        <v>111</v>
      </c>
      <c r="G98" t="s">
        <v>111</v>
      </c>
      <c r="H98" t="s">
        <v>111</v>
      </c>
      <c r="I98" t="s">
        <v>111</v>
      </c>
    </row>
    <row r="99" spans="1:9" x14ac:dyDescent="0.2">
      <c r="A99" s="26" t="s">
        <v>63</v>
      </c>
      <c r="B99" t="s">
        <v>128</v>
      </c>
      <c r="C99" t="s">
        <v>66</v>
      </c>
      <c r="D99" t="s">
        <v>77</v>
      </c>
      <c r="E99" t="s">
        <v>78</v>
      </c>
      <c r="F99" t="s">
        <v>108</v>
      </c>
      <c r="G99" t="s">
        <v>87</v>
      </c>
      <c r="H99" t="s">
        <v>88</v>
      </c>
      <c r="I99" t="s">
        <v>89</v>
      </c>
    </row>
    <row r="100" spans="1:9" x14ac:dyDescent="0.2">
      <c r="A100" s="26" t="s">
        <v>63</v>
      </c>
      <c r="B100" t="s">
        <v>51</v>
      </c>
      <c r="C100" t="s">
        <v>66</v>
      </c>
      <c r="D100" t="s">
        <v>77</v>
      </c>
      <c r="E100" t="s">
        <v>78</v>
      </c>
      <c r="F100" t="s">
        <v>126</v>
      </c>
      <c r="G100" t="s">
        <v>116</v>
      </c>
      <c r="H100" t="s">
        <v>115</v>
      </c>
      <c r="I100" t="s">
        <v>79</v>
      </c>
    </row>
    <row r="101" spans="1:9" x14ac:dyDescent="0.2">
      <c r="A101" s="26" t="s">
        <v>63</v>
      </c>
      <c r="B101" t="s">
        <v>54</v>
      </c>
      <c r="C101" t="s">
        <v>66</v>
      </c>
      <c r="D101" t="s">
        <v>77</v>
      </c>
      <c r="E101" t="s">
        <v>78</v>
      </c>
      <c r="F101" t="s">
        <v>89</v>
      </c>
      <c r="G101" t="s">
        <v>90</v>
      </c>
      <c r="H101" t="s">
        <v>129</v>
      </c>
      <c r="I101" t="s">
        <v>126</v>
      </c>
    </row>
    <row r="102" spans="1:9" x14ac:dyDescent="0.2">
      <c r="A102" s="26" t="s">
        <v>63</v>
      </c>
      <c r="B102" t="s">
        <v>61</v>
      </c>
      <c r="C102" t="s">
        <v>66</v>
      </c>
      <c r="D102" t="s">
        <v>77</v>
      </c>
      <c r="E102" t="s">
        <v>78</v>
      </c>
      <c r="F102" t="s">
        <v>90</v>
      </c>
      <c r="G102" t="s">
        <v>129</v>
      </c>
      <c r="H102" t="s">
        <v>126</v>
      </c>
      <c r="I102" t="s">
        <v>115</v>
      </c>
    </row>
    <row r="103" spans="1:9" x14ac:dyDescent="0.2">
      <c r="A103" s="26" t="s">
        <v>63</v>
      </c>
      <c r="B103" t="s">
        <v>52</v>
      </c>
      <c r="C103" t="s">
        <v>66</v>
      </c>
      <c r="D103" t="s">
        <v>77</v>
      </c>
      <c r="E103" t="s">
        <v>78</v>
      </c>
      <c r="F103" t="s">
        <v>129</v>
      </c>
      <c r="G103" t="s">
        <v>126</v>
      </c>
      <c r="H103" t="s">
        <v>116</v>
      </c>
      <c r="I103" t="s">
        <v>115</v>
      </c>
    </row>
    <row r="104" spans="1:9" x14ac:dyDescent="0.2">
      <c r="A104" s="26" t="s">
        <v>63</v>
      </c>
      <c r="B104" t="s">
        <v>53</v>
      </c>
      <c r="C104" t="s">
        <v>66</v>
      </c>
      <c r="D104" t="s">
        <v>77</v>
      </c>
      <c r="E104" t="s">
        <v>78</v>
      </c>
      <c r="F104" t="s">
        <v>130</v>
      </c>
      <c r="G104" t="s">
        <v>131</v>
      </c>
      <c r="H104" t="s">
        <v>132</v>
      </c>
      <c r="I104" t="s">
        <v>133</v>
      </c>
    </row>
    <row r="105" spans="1:9" x14ac:dyDescent="0.2">
      <c r="A105" s="26" t="s">
        <v>65</v>
      </c>
      <c r="B105" t="s">
        <v>47</v>
      </c>
      <c r="C105" t="s">
        <v>109</v>
      </c>
      <c r="D105" t="s">
        <v>74</v>
      </c>
      <c r="E105" t="s">
        <v>74</v>
      </c>
      <c r="F105" t="s">
        <v>74</v>
      </c>
      <c r="G105" t="s">
        <v>74</v>
      </c>
      <c r="H105" t="s">
        <v>68</v>
      </c>
      <c r="I105" t="s">
        <v>69</v>
      </c>
    </row>
    <row r="106" spans="1:9" x14ac:dyDescent="0.2">
      <c r="A106" s="26" t="s">
        <v>65</v>
      </c>
      <c r="B106" t="s">
        <v>48</v>
      </c>
      <c r="C106" t="s">
        <v>109</v>
      </c>
      <c r="D106" t="s">
        <v>73</v>
      </c>
      <c r="E106" t="s">
        <v>73</v>
      </c>
      <c r="F106" t="s">
        <v>73</v>
      </c>
      <c r="G106" t="s">
        <v>73</v>
      </c>
      <c r="H106" t="s">
        <v>74</v>
      </c>
      <c r="I106" t="s">
        <v>68</v>
      </c>
    </row>
    <row r="107" spans="1:9" x14ac:dyDescent="0.2">
      <c r="A107" s="26" t="s">
        <v>65</v>
      </c>
      <c r="B107" t="s">
        <v>76</v>
      </c>
      <c r="C107" t="s">
        <v>109</v>
      </c>
      <c r="D107" t="s">
        <v>77</v>
      </c>
      <c r="E107" t="s">
        <v>78</v>
      </c>
      <c r="F107" t="s">
        <v>79</v>
      </c>
      <c r="G107" t="s">
        <v>80</v>
      </c>
      <c r="H107" t="s">
        <v>81</v>
      </c>
      <c r="I107" t="s">
        <v>82</v>
      </c>
    </row>
    <row r="108" spans="1:9" x14ac:dyDescent="0.2">
      <c r="A108" s="26" t="s">
        <v>65</v>
      </c>
      <c r="B108" t="s">
        <v>91</v>
      </c>
      <c r="C108" t="s">
        <v>109</v>
      </c>
      <c r="D108" t="s">
        <v>116</v>
      </c>
      <c r="E108" t="s">
        <v>116</v>
      </c>
      <c r="F108" t="s">
        <v>107</v>
      </c>
      <c r="G108" t="s">
        <v>110</v>
      </c>
      <c r="H108" t="s">
        <v>92</v>
      </c>
      <c r="I108" t="s">
        <v>72</v>
      </c>
    </row>
    <row r="109" spans="1:9" x14ac:dyDescent="0.2">
      <c r="A109" s="26" t="s">
        <v>65</v>
      </c>
      <c r="B109" t="s">
        <v>93</v>
      </c>
      <c r="C109" t="s">
        <v>109</v>
      </c>
      <c r="D109" t="s">
        <v>116</v>
      </c>
      <c r="E109" t="s">
        <v>116</v>
      </c>
      <c r="F109" t="s">
        <v>107</v>
      </c>
      <c r="G109" t="s">
        <v>110</v>
      </c>
      <c r="H109" t="s">
        <v>92</v>
      </c>
      <c r="I109" t="s">
        <v>72</v>
      </c>
    </row>
    <row r="110" spans="1:9" x14ac:dyDescent="0.2">
      <c r="A110" s="26" t="s">
        <v>65</v>
      </c>
      <c r="B110" t="s">
        <v>94</v>
      </c>
      <c r="C110" t="s">
        <v>109</v>
      </c>
      <c r="D110" t="s">
        <v>116</v>
      </c>
      <c r="E110" t="s">
        <v>116</v>
      </c>
      <c r="F110" t="s">
        <v>107</v>
      </c>
      <c r="G110" t="s">
        <v>110</v>
      </c>
      <c r="H110" t="s">
        <v>92</v>
      </c>
      <c r="I110" t="s">
        <v>72</v>
      </c>
    </row>
    <row r="111" spans="1:9" x14ac:dyDescent="0.2">
      <c r="A111" s="26" t="s">
        <v>65</v>
      </c>
      <c r="B111" t="s">
        <v>117</v>
      </c>
      <c r="C111" t="s">
        <v>109</v>
      </c>
      <c r="D111" t="s">
        <v>104</v>
      </c>
      <c r="E111" t="s">
        <v>104</v>
      </c>
      <c r="F111" t="s">
        <v>82</v>
      </c>
      <c r="G111" t="s">
        <v>111</v>
      </c>
      <c r="H111" t="s">
        <v>73</v>
      </c>
      <c r="I111" t="s">
        <v>75</v>
      </c>
    </row>
    <row r="112" spans="1:9" x14ac:dyDescent="0.2">
      <c r="A112" s="26" t="s">
        <v>65</v>
      </c>
      <c r="B112" t="s">
        <v>118</v>
      </c>
      <c r="C112" t="s">
        <v>109</v>
      </c>
      <c r="D112" t="s">
        <v>104</v>
      </c>
      <c r="E112" t="s">
        <v>104</v>
      </c>
      <c r="F112" t="s">
        <v>82</v>
      </c>
      <c r="G112" t="s">
        <v>111</v>
      </c>
      <c r="H112" t="s">
        <v>73</v>
      </c>
      <c r="I112" t="s">
        <v>75</v>
      </c>
    </row>
    <row r="113" spans="1:9" x14ac:dyDescent="0.2">
      <c r="A113" s="26" t="s">
        <v>65</v>
      </c>
      <c r="B113" t="s">
        <v>52</v>
      </c>
      <c r="C113" t="s">
        <v>109</v>
      </c>
      <c r="D113" t="s">
        <v>77</v>
      </c>
      <c r="E113" t="s">
        <v>78</v>
      </c>
      <c r="F113" t="s">
        <v>104</v>
      </c>
      <c r="G113" t="s">
        <v>105</v>
      </c>
      <c r="H113" t="s">
        <v>107</v>
      </c>
      <c r="I113" t="s">
        <v>110</v>
      </c>
    </row>
    <row r="114" spans="1:9" x14ac:dyDescent="0.2">
      <c r="A114" s="26" t="s">
        <v>65</v>
      </c>
      <c r="B114" t="s">
        <v>51</v>
      </c>
      <c r="C114" t="s">
        <v>109</v>
      </c>
      <c r="D114" t="s">
        <v>77</v>
      </c>
      <c r="E114" t="s">
        <v>78</v>
      </c>
      <c r="F114" t="s">
        <v>115</v>
      </c>
      <c r="G114" t="s">
        <v>79</v>
      </c>
      <c r="H114" t="s">
        <v>80</v>
      </c>
      <c r="I114" t="s">
        <v>81</v>
      </c>
    </row>
    <row r="115" spans="1:9" x14ac:dyDescent="0.2">
      <c r="A115" s="26" t="s">
        <v>65</v>
      </c>
      <c r="B115" t="s">
        <v>61</v>
      </c>
      <c r="C115" t="s">
        <v>109</v>
      </c>
      <c r="D115" t="s">
        <v>77</v>
      </c>
      <c r="E115" t="s">
        <v>78</v>
      </c>
      <c r="F115" t="s">
        <v>89</v>
      </c>
      <c r="G115" t="s">
        <v>90</v>
      </c>
      <c r="H115" t="s">
        <v>64</v>
      </c>
      <c r="I115" t="s">
        <v>116</v>
      </c>
    </row>
    <row r="116" spans="1:9" x14ac:dyDescent="0.2">
      <c r="A116" s="26" t="s">
        <v>65</v>
      </c>
      <c r="B116" t="s">
        <v>113</v>
      </c>
      <c r="C116" t="s">
        <v>109</v>
      </c>
      <c r="D116" t="s">
        <v>77</v>
      </c>
      <c r="E116" t="s">
        <v>78</v>
      </c>
      <c r="F116" t="s">
        <v>88</v>
      </c>
      <c r="G116" t="s">
        <v>89</v>
      </c>
      <c r="H116" t="s">
        <v>90</v>
      </c>
      <c r="I116" t="s">
        <v>129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ColWidth="9.33203125" defaultRowHeight="12.75" x14ac:dyDescent="0.2"/>
  <cols>
    <col min="1" max="1" width="130.1640625" customWidth="1"/>
  </cols>
  <sheetData>
    <row r="1" spans="1:1" ht="13.5" customHeight="1" x14ac:dyDescent="0.2">
      <c r="A1" s="20" t="s">
        <v>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workbookViewId="0"/>
  </sheetViews>
  <sheetFormatPr baseColWidth="10" defaultColWidth="9.33203125" defaultRowHeight="12.75" x14ac:dyDescent="0.2"/>
  <cols>
    <col min="1" max="1" width="71.1640625" customWidth="1"/>
    <col min="2" max="2" width="61.83203125" customWidth="1"/>
  </cols>
  <sheetData>
    <row r="1" spans="1:2" ht="28.5" customHeight="1" x14ac:dyDescent="0.2">
      <c r="A1" s="21" t="s">
        <v>41</v>
      </c>
      <c r="B1" s="22" t="s">
        <v>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"/>
  <sheetViews>
    <sheetView workbookViewId="0"/>
  </sheetViews>
  <sheetFormatPr baseColWidth="10" defaultColWidth="9.33203125" defaultRowHeight="12.75" x14ac:dyDescent="0.2"/>
  <cols>
    <col min="1" max="1" width="29.83203125" customWidth="1"/>
    <col min="2" max="2" width="97.5" customWidth="1"/>
  </cols>
  <sheetData>
    <row r="1" spans="1:2" ht="30.95" customHeight="1" x14ac:dyDescent="0.2"/>
    <row r="2" spans="1:2" ht="13.5" customHeight="1" x14ac:dyDescent="0.2">
      <c r="A2" s="25"/>
      <c r="B2" s="25"/>
    </row>
    <row r="3" spans="1:2" ht="129" customHeight="1" x14ac:dyDescent="0.2">
      <c r="A3" s="23"/>
      <c r="B3" s="24" t="s">
        <v>43</v>
      </c>
    </row>
  </sheetData>
  <mergeCells count="1">
    <mergeCell ref="A2:B2"/>
  </mergeCells>
  <hyperlinks>
    <hyperlink ref="B3" r:id="rId1" display="mailto:azcargo@atc-aviationusa.com" xr:uid="{00000000-0004-0000-0700-000000000000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A73CB0-4B2B-482D-9441-32037FCD0E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Table 1</vt:lpstr>
      <vt:lpstr>Table 2</vt:lpstr>
      <vt:lpstr>Table 3</vt:lpstr>
      <vt:lpstr>Table 4</vt:lpstr>
      <vt:lpstr>Table 5</vt:lpstr>
      <vt:lpstr>Tabla1</vt:lpstr>
      <vt:lpstr>Hoja2</vt:lpstr>
      <vt:lpstr>Hoja1</vt:lpstr>
      <vt:lpstr>Table 6</vt:lpstr>
      <vt:lpstr>Table 7</vt:lpstr>
      <vt:lpstr>Table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Morch</dc:creator>
  <cp:lastModifiedBy>ANTHONY JOSSUE RAMIREZ FLORES</cp:lastModifiedBy>
  <dcterms:created xsi:type="dcterms:W3CDTF">2025-09-15T22:13:25Z</dcterms:created>
  <dcterms:modified xsi:type="dcterms:W3CDTF">2025-09-16T00:01:41Z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2025-08-26T00:00:00Z</vt:filetime>
  </property>
  <property fmtid="{D5CDD505-2E9C-101B-9397-08002B2CF9AE}" pid="3" name="Creator">
    <vt:lpwstr>Microsoft® Word for Microsoft 365</vt:lpwstr>
  </property>
  <property fmtid="{D5CDD505-2E9C-101B-9397-08002B2CF9AE}" pid="4" name="LastSaved">
    <vt:filetime>2025-09-15T00:00:00Z</vt:filetime>
  </property>
  <property fmtid="{D5CDD505-2E9C-101B-9397-08002B2CF9AE}" pid="5" name="Producer">
    <vt:lpwstr>Microsoft® Word for Microsoft 365</vt:lpwstr>
  </property>
</Properties>
</file>